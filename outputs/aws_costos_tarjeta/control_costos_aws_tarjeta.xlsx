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029767d90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765ebca579946a0"/>
    <x:sheet xmlns:r="http://schemas.openxmlformats.org/officeDocument/2006/relationships" name="Registro AWS" sheetId="2" r:id="Rfcd98f337ca947c3"/>
    <x:sheet xmlns:r="http://schemas.openxmlformats.org/officeDocument/2006/relationships" name="Factura Tarjeta" sheetId="3" r:id="Rfa43f3d21eba4aa0"/>
    <x:sheet xmlns:r="http://schemas.openxmlformats.org/officeDocument/2006/relationships" name="Listas y Guía" sheetId="4" r:id="R0d7a80d53434436c"/>
    <x:sheet xmlns:r="http://schemas.openxmlformats.org/officeDocument/2006/relationships" name="Fuentes" sheetId="5" r:id="Rf54720284858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&quot;US$&quot;#,##0.00;[Red](&quot;US$&quot;#,##0.00);-"/>
    <x:numFmt numFmtId="202" formatCode="#,##0.00"/>
    <x:numFmt numFmtId="203" formatCode="&quot;$&quot;#,##0.00;[Red](&quot;$&quot;#,##0.00);-"/>
    <x:numFmt numFmtId="204" formatCode="yyyy-mm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D9EAF7"/>
      </x:patternFill>
    </x:fill>
    <x:fill>
      <x:patternFill patternType="solid">
        <x:fgColor rgb="FFFFF9E6"/>
      </x:patternFill>
    </x:fill>
    <x:fill>
      <x:patternFill patternType="solid">
        <x:fgColor rgb="FFF7F9FC"/>
      </x:patternFill>
    </x:fill>
  </x:fills>
  <x:borders count="18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  <x:bottom style="thin">
        <x:color rgb="FFD9E2F3"/>
      </x:bottom>
    </x:border>
    <x:border>
      <x:left style="medium">
        <x:color rgb="FFD9E2F3"/>
      </x:left>
      <x:top style="medium">
        <x:color rgb="FFD9E2F3"/>
      </x:top>
    </x:border>
    <x:border>
      <x:right style="medium">
        <x:color rgb="FFD9E2F3"/>
      </x:right>
      <x:top style="medium">
        <x:color rgb="FFD9E2F3"/>
      </x:top>
    </x:border>
    <x:border>
      <x:left style="medium">
        <x:color rgb="FFD9E2F3"/>
      </x:left>
      <x:bottom style="medium">
        <x:color rgb="FFD9E2F3"/>
      </x:bottom>
    </x:border>
    <x:border>
      <x:right style="medium">
        <x:color rgb="FFD9E2F3"/>
      </x:right>
      <x:bottom style="medium">
        <x:color rgb="FFD9E2F3"/>
      </x:bottom>
    </x:border>
    <x:border>
      <x:right style="thin">
        <x:color rgb="FFD9E2F3"/>
      </x:right>
    </x:border>
    <x:border>
      <x:left style="thin">
        <x:color rgb="FFD9E2F3"/>
      </x:left>
      <x:right style="thin">
        <x:color rgb="FFD9E2F3"/>
      </x:right>
    </x:border>
    <x:border>
      <x:left style="thin">
        <x:color rgb="FFD9E2F3"/>
      </x:left>
    </x:border>
  </x:borders>
  <x:cellStyleXfs count="1">
    <x:xf numFmtId="0" fontId="0" fillId="0" borderId="0"/>
  </x:cellStyleXfs>
  <x:cellXfs count="1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6" xfId="0" applyNumberFormat="1" applyFont="1" applyFill="1" applyBorder="1"/>
    <x:xf numFmtId="0" fontId="4" fillId="2" borderId="10" xfId="0" applyNumberFormat="1" applyFont="1" applyFill="1" applyBorder="1"/>
    <x:xf numFmtId="0" fontId="4" fillId="2" borderId="4" xfId="0" applyNumberFormat="1" applyFont="1" applyFill="1" applyBorder="1"/>
    <x:xf numFmtId="0" fontId="4" fillId="2" borderId="6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200" fontId="0" fillId="5" borderId="2" xfId="0" applyNumberFormat="1" applyFont="1" applyFill="1" applyBorder="1" applyAlignment="1">
      <x:alignment vertical="center"/>
    </x:xf>
    <x:xf numFmtId="200" fontId="0" fillId="5" borderId="5" xfId="0" applyNumberFormat="1" applyFont="1" applyFill="1" applyBorder="1" applyAlignment="1">
      <x:alignment vertical="center"/>
    </x:xf>
    <x:xf numFmtId="200" fontId="0" fillId="5" borderId="8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2" fontId="0" fillId="5" borderId="2" xfId="0" applyNumberFormat="1" applyFont="1" applyFill="1" applyBorder="1" applyAlignment="1">
      <x:alignment vertical="center"/>
    </x:xf>
    <x:xf numFmtId="202" fontId="0" fillId="5" borderId="5" xfId="0" applyNumberFormat="1" applyFont="1" applyFill="1" applyBorder="1" applyAlignment="1">
      <x:alignment vertical="center"/>
    </x:xf>
    <x:xf numFmtId="202" fontId="0" fillId="5" borderId="8" xfId="0" applyNumberFormat="1" applyFont="1" applyFill="1" applyBorder="1" applyAlignment="1">
      <x:alignment vertical="center"/>
    </x:xf>
    <x:xf numFmtId="203" fontId="0" fillId="0" borderId="2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8" xfId="0" applyNumberFormat="1" applyFont="1" applyFill="1" applyBorder="1" applyAlignment="1">
      <x:alignment vertical="center"/>
    </x:xf>
    <x:xf numFmtId="204" fontId="0" fillId="5" borderId="2" xfId="0" applyNumberFormat="1" applyFont="1" applyFill="1" applyBorder="1" applyAlignment="1">
      <x:alignment vertical="center"/>
    </x:xf>
    <x:xf numFmtId="204" fontId="0" fillId="5" borderId="5" xfId="0" applyNumberFormat="1" applyFont="1" applyFill="1" applyBorder="1" applyAlignment="1">
      <x:alignment vertical="center"/>
    </x:xf>
    <x:xf numFmtId="204" fontId="0" fillId="5" borderId="8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204" fontId="0" fillId="5" borderId="2" xfId="0" applyNumberFormat="1" applyFont="1" applyFill="1" applyBorder="1" applyAlignment="1">
      <x:alignment vertical="center" wrapText="1"/>
    </x:xf>
    <x:xf numFmtId="200" fontId="0" fillId="5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201" fontId="0" fillId="5" borderId="2" xfId="0" applyNumberFormat="1" applyFont="1" applyFill="1" applyBorder="1" applyAlignment="1">
      <x:alignment vertical="center" wrapText="1"/>
    </x:xf>
    <x:xf numFmtId="202" fontId="0" fillId="5" borderId="2" xfId="0" applyNumberFormat="1" applyFont="1" applyFill="1" applyBorder="1" applyAlignment="1">
      <x:alignment vertical="center" wrapText="1"/>
    </x:xf>
    <x:xf numFmtId="203" fontId="0" fillId="0" borderId="2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204" fontId="0" fillId="5" borderId="5" xfId="0" applyNumberFormat="1" applyFont="1" applyFill="1" applyBorder="1" applyAlignment="1">
      <x:alignment vertical="center" wrapText="1"/>
    </x:xf>
    <x:xf numFmtId="200" fontId="0" fillId="5" borderId="5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201" fontId="0" fillId="5" borderId="5" xfId="0" applyNumberFormat="1" applyFont="1" applyFill="1" applyBorder="1" applyAlignment="1">
      <x:alignment vertical="center" wrapText="1"/>
    </x:xf>
    <x:xf numFmtId="202" fontId="0" fillId="5" borderId="5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4" fontId="0" fillId="5" borderId="8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201" fontId="0" fillId="5" borderId="8" xfId="0" applyNumberFormat="1" applyFont="1" applyFill="1" applyBorder="1" applyAlignment="1">
      <x:alignment vertical="center" wrapText="1"/>
    </x:xf>
    <x:xf numFmtId="202" fontId="0" fillId="5" borderId="8" xfId="0" applyNumberFormat="1" applyFont="1" applyFill="1" applyBorder="1" applyAlignment="1">
      <x:alignment vertical="center" wrapText="1"/>
    </x:xf>
    <x:xf numFmtId="203" fontId="0" fillId="0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3" fontId="0" fillId="5" borderId="2" xfId="0" applyNumberFormat="1" applyFont="1" applyFill="1" applyBorder="1" applyAlignment="1">
      <x:alignment vertical="center"/>
    </x:xf>
    <x:xf numFmtId="203" fontId="0" fillId="5" borderId="5" xfId="0" applyNumberFormat="1" applyFont="1" applyFill="1" applyBorder="1" applyAlignment="1">
      <x:alignment vertical="center"/>
    </x:xf>
    <x:xf numFmtId="203" fontId="0" fillId="5" borderId="8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 wrapText="1"/>
    </x:xf>
    <x:xf numFmtId="203" fontId="0" fillId="5" borderId="2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3" fontId="0" fillId="5" borderId="5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3" fontId="0" fillId="5" borderId="8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4" fontId="5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1" xfId="0" applyNumberFormat="1" applyFont="1" applyFill="1" applyBorder="1" applyAlignment="1">
      <x:alignment horizontal="center"/>
    </x:xf>
    <x:xf numFmtId="0" fontId="6" fillId="6" borderId="12" xfId="0" applyNumberFormat="1" applyFont="1" applyFill="1" applyBorder="1" applyAlignment="1">
      <x:alignment horizontal="center"/>
    </x:xf>
    <x:xf numFmtId="0" fontId="6" fillId="6" borderId="13" xfId="0" applyNumberFormat="1" applyFont="1" applyFill="1" applyBorder="1" applyAlignment="1">
      <x:alignment horizontal="center"/>
    </x:xf>
    <x:xf numFmtId="0" fontId="6" fillId="6" borderId="14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6" fillId="6" borderId="12" xfId="0" applyNumberFormat="1" applyFont="1" applyFill="1" applyBorder="1" applyAlignment="1">
      <x:alignment horizontal="center" vertical="center"/>
    </x:xf>
    <x:xf numFmtId="0" fontId="6" fillId="6" borderId="13" xfId="0" applyNumberFormat="1" applyFont="1" applyFill="1" applyBorder="1" applyAlignment="1">
      <x:alignment horizontal="center" vertical="center"/>
    </x:xf>
    <x:xf numFmtId="0" fontId="6" fillId="6" borderId="14" xfId="0" applyNumberFormat="1" applyFont="1" applyFill="1" applyBorder="1" applyAlignment="1">
      <x:alignment horizontal="center" vertical="center"/>
    </x:xf>
    <x:xf numFmtId="201" fontId="6" fillId="6" borderId="11" xfId="0" applyNumberFormat="1" applyFont="1" applyFill="1" applyBorder="1" applyAlignment="1">
      <x:alignment horizontal="center" vertical="center"/>
    </x:xf>
    <x:xf numFmtId="203" fontId="6" fillId="6" borderId="11" xfId="0" applyNumberFormat="1" applyFont="1" applyFill="1" applyBorder="1" applyAlignment="1">
      <x:alignment horizontal="center" vertical="center"/>
    </x:xf>
    <x:xf numFmtId="203" fontId="6" fillId="6" borderId="12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5" xfId="0" applyNumberFormat="1" applyFont="1" applyFill="1" applyBorder="1" applyAlignment="1">
      <x:alignment wrapText="1"/>
    </x:xf>
    <x:xf numFmtId="0" fontId="0" fillId="6" borderId="16" xfId="0" applyNumberFormat="1" applyFont="1" applyFill="1" applyBorder="1" applyAlignment="1">
      <x:alignment wrapText="1"/>
    </x:xf>
    <x:xf numFmtId="0" fontId="0" fillId="6" borderId="17" xfId="0" applyNumberFormat="1" applyFont="1" applyFill="1" applyBorder="1" applyAlignment="1">
      <x:alignment wrapText="1"/>
    </x:xf>
    <x:xf numFmtId="0" fontId="0" fillId="6" borderId="15" xfId="0" applyNumberFormat="1" applyFont="1" applyFill="1" applyBorder="1" applyAlignment="1">
      <x:alignment horizontal="center" wrapText="1"/>
    </x:xf>
    <x:xf numFmtId="0" fontId="0" fillId="6" borderId="16" xfId="0" applyNumberFormat="1" applyFont="1" applyFill="1" applyBorder="1" applyAlignment="1">
      <x:alignment horizontal="center" wrapText="1"/>
    </x:xf>
    <x:xf numFmtId="0" fontId="0" fillId="6" borderId="17" xfId="0" applyNumberFormat="1" applyFont="1" applyFill="1" applyBorder="1" applyAlignment="1">
      <x:alignment horizontal="center" wrapText="1"/>
    </x:xf>
    <x:xf numFmtId="203" fontId="0" fillId="6" borderId="16" xfId="0" applyNumberFormat="1" applyFont="1" applyFill="1" applyBorder="1" applyAlignment="1">
      <x:alignment horizontal="center" wrapText="1"/>
    </x:xf>
    <x:xf numFmtId="200" fontId="0" fillId="6" borderId="17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af5ad792a43f8" /><Relationship Type="http://schemas.openxmlformats.org/officeDocument/2006/relationships/theme" Target="/xl/theme/theme1.xml" Id="R9af271b31ace4605" /><Relationship Type="http://schemas.openxmlformats.org/officeDocument/2006/relationships/sharedStrings" Target="/xl/sharedStrings.xml" Id="R2ed68f110e9b4656" /><Relationship Type="http://schemas.openxmlformats.org/officeDocument/2006/relationships/worksheet" Target="/xl/worksheets/sheet1.xml" Id="Ra765ebca579946a0" /><Relationship Type="http://schemas.openxmlformats.org/officeDocument/2006/relationships/worksheet" Target="/xl/worksheets/sheet2.xml" Id="Rfcd98f337ca947c3" /><Relationship Type="http://schemas.openxmlformats.org/officeDocument/2006/relationships/worksheet" Target="/xl/worksheets/sheet3.xml" Id="Rfa43f3d21eba4aa0" /><Relationship Type="http://schemas.openxmlformats.org/officeDocument/2006/relationships/worksheet" Target="/xl/worksheets/sheet4.xml" Id="R0d7a80d53434436c" /><Relationship Type="http://schemas.openxmlformats.org/officeDocument/2006/relationships/worksheet" Target="/xl/worksheets/sheet5.xml" Id="Rf547202848584e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31" hidden="0" customWidth="1"/>
    <x:col min="4" max="4" width="18" hidden="0" customWidth="1"/>
    <x:col min="5" max="5" width="18" hidden="0" customWidth="1"/>
    <x:col min="6" max="6" width="16" hidden="0" customWidth="1"/>
    <x:col min="7" max="7" width="28" hidden="0" customWidth="1"/>
    <x:col min="8" max="8" width="17" hidden="0" customWidth="1"/>
  </x:cols>
  <x:sheetData>
    <x:row r="1" ht="28" customHeight="1">
      <x:c r="A1" s="4" t="str">
        <x:v>Resumen mensual de AWS pagado con tarjeta</x:v>
      </x:c>
    </x:row>
    <x:row r="2" ht="22" customHeight="1">
      <x:c r="A2" s="7" t="str">
        <x:v>Vista de control para costos, conciliación y documentación. Completá un período en B4 para filtrar los indicadores.</x:v>
      </x:c>
    </x:row>
    <x:row r="4">
      <x:c r="A4" s="9" t="str">
        <x:v>Período a revisar</x:v>
      </x:c>
      <x:c r="B4" s="145" t="str">
        <x:v>2026-08</x:v>
      </x:c>
    </x:row>
    <x:row r="6">
      <x:c r="A6" s="146" t="str">
        <x:v>Costo AWS registrado (USD)</x:v>
      </x:c>
      <x:c r="B6" s="146"/>
      <x:c r="D6" s="146" t="str">
        <x:v>Costo AWS estimado (ARS)</x:v>
      </x:c>
      <x:c r="E6" s="146"/>
      <x:c r="G6" s="146" t="str">
        <x:v>Total tarjeta imputado (ARS)</x:v>
      </x:c>
      <x:c r="H6" s="146"/>
    </x:row>
    <x:row r="7">
      <x:c r="A7" s="161" t="n">
        <x:f>SUMIFS('Registro AWS'!$H$6:$H$205,'Registro AWS'!$B$6:$B$205,$B$4)</x:f>
        <x:v>0</x:v>
      </x:c>
      <x:c r="B7" s="158"/>
      <x:c r="D7" s="162" t="n">
        <x:f>SUMIFS('Registro AWS'!$K$6:$K$205,'Registro AWS'!$B$6:$B$205,$B$4)</x:f>
        <x:v>0</x:v>
      </x:c>
      <x:c r="E7" s="163"/>
      <x:c r="F7" s="164"/>
      <x:c r="G7" s="162" t="n">
        <x:f>SUMIFS('Factura Tarjeta'!$K$6:$K$105,'Factura Tarjeta'!$B$6:$B$105,$B$4)</x:f>
        <x:v>0</x:v>
      </x:c>
      <x:c r="H7" s="158"/>
    </x:row>
    <x:row r="8">
      <x:c r="A8" s="159"/>
      <x:c r="B8" s="160"/>
      <x:c r="D8" s="159"/>
      <x:c r="E8" s="160"/>
      <x:c r="G8" s="159"/>
      <x:c r="H8" s="160"/>
    </x:row>
    <x:row r="11" ht="22" customHeight="1">
      <x:c r="A11" s="10" t="str">
        <x:v>Control de conciliación</x:v>
      </x:c>
    </x:row>
    <x:row r="12" ht="34" customHeight="1">
      <x:c r="A12" s="51" t="str">
        <x:v>Facturas AWS</x:v>
      </x:c>
      <x:c r="B12" s="52" t="str">
        <x:v>AWS pendientes</x:v>
      </x:c>
      <x:c r="C12" s="52" t="str">
        <x:v>Resúmenes TC</x:v>
      </x:c>
      <x:c r="D12" s="52" t="str">
        <x:v>Resúmenes observados</x:v>
      </x:c>
      <x:c r="E12" s="52" t="str">
        <x:v>Diferencia total (ARS)</x:v>
      </x:c>
      <x:c r="F12" s="52" t="str">
        <x:v>Estado</x:v>
      </x:c>
      <x:c r="G12" s="52" t="str">
        <x:v>Acción sugerida</x:v>
      </x:c>
      <x:c r="H12" s="53" t="str">
        <x:v>Última actualización</x:v>
      </x:c>
    </x:row>
    <x:row r="13">
      <x:c r="A13" s="171" t="n">
        <x:f>COUNTIF('Registro AWS'!$B$6:$B$205,$B$4)</x:f>
        <x:v>0</x:v>
      </x:c>
      <x:c r="B13" s="172" t="n">
        <x:f>COUNTIFS('Registro AWS'!$B$6:$B$205,$B$4,'Registro AWS'!$L$6:$L$205,"&lt;&gt;Conciliado")</x:f>
        <x:v>0</x:v>
      </x:c>
      <x:c r="C13" s="172" t="n">
        <x:f>COUNTIF('Factura Tarjeta'!$B$6:$B$105,$B$4)</x:f>
        <x:v>0</x:v>
      </x:c>
      <x:c r="D13" s="172" t="n">
        <x:f>COUNTIFS('Factura Tarjeta'!$B$6:$B$105,$B$4,'Factura Tarjeta'!$M$6:$M$105,"Observado")</x:f>
        <x:v>0</x:v>
      </x:c>
      <x:c r="E13" s="174" t="n">
        <x:f>SUMIFS('Factura Tarjeta'!$L$6:$L$105,'Factura Tarjeta'!$B$6:$B$105,$B$4)</x:f>
        <x:v>0</x:v>
      </x:c>
      <x:c r="F13" s="172" t="str">
        <x:f>IF(AND(B13=0,D13=0,ABS(E13)&lt;0.01),"CONCILIADO","REVISAR")</x:f>
        <x:v>CONCILIADO</x:v>
      </x:c>
      <x:c r="G13" s="172" t="str">
        <x:f>IF(F13="CONCILIADO","Archivar respaldo","Revisar filas pendientes u observadas")</x:f>
        <x:v>Archivar respaldo</x:v>
      </x:c>
      <x:c r="H13" s="175" t="n">
        <x:f>TODAY()</x:f>
        <x:v>46246</x:v>
      </x:c>
    </x:row>
    <x:row r="16" ht="22" customHeight="1">
      <x:c r="A16" s="10" t="str">
        <x:v>Documentación mínima por período</x:v>
      </x:c>
    </x:row>
    <x:row r="17">
      <x:c r="A17" s="179" t="str">
        <x:v>Documento</x:v>
      </x:c>
      <x:c r="B17" s="180" t="str">
        <x:v>Qué verificar</x:v>
      </x:c>
      <x:c r="C17" s="181" t="str">
        <x:v>Dónde registrarlo</x:v>
      </x:c>
      <x:c r="D17" t="str"/>
      <x:c r="E17" t="str"/>
      <x:c r="F17" t="str"/>
      <x:c r="G17" t="str"/>
      <x:c r="H17" t="str"/>
    </x:row>
    <x:row r="18">
      <x:c r="A18" s="23" t="str">
        <x:v>Factura AWS</x:v>
      </x:c>
      <x:c r="B18" s="24" t="str">
        <x:v>ID, período, importe y cuenta AWS</x:v>
      </x:c>
      <x:c r="C18" s="25" t="str">
        <x:v>Registro AWS + Fuentes</x:v>
      </x:c>
      <x:c r="D18" t="str"/>
      <x:c r="E18" t="str"/>
      <x:c r="F18" t="str"/>
      <x:c r="G18" t="str"/>
      <x:c r="H18" t="str"/>
    </x:row>
    <x:row r="19">
      <x:c r="A19" s="23" t="str">
        <x:v>Resumen de tarjeta</x:v>
      </x:c>
      <x:c r="B19" s="24" t="str">
        <x:v>ID, tipo de cambio, impuestos y total</x:v>
      </x:c>
      <x:c r="C19" s="25" t="str">
        <x:v>Factura Tarjeta + Fuentes</x:v>
      </x:c>
      <x:c r="D19" t="str"/>
      <x:c r="E19" t="str"/>
      <x:c r="F19" t="str"/>
      <x:c r="G19" t="str"/>
      <x:c r="H19" t="str"/>
    </x:row>
    <x:row r="20">
      <x:c r="A20" s="26" t="str">
        <x:v>Comprobante de pago</x:v>
      </x:c>
      <x:c r="B20" s="27" t="str">
        <x:v>Fecha y total pagado</x:v>
      </x:c>
      <x:c r="C20" s="28" t="str">
        <x:v>Fuentes</x:v>
      </x:c>
      <x:c r="D20" t="str"/>
      <x:c r="E20" t="str"/>
      <x:c r="F20" t="str"/>
      <x:c r="G20" t="str"/>
      <x:c r="H20" t="str"/>
    </x:row>
  </x:sheetData>
  <x:mergeCells>
    <x:mergeCell ref="A1:H1"/>
    <x:mergeCell ref="A2:L2"/>
    <x:mergeCell ref="A6:B6"/>
    <x:mergeCell ref="D6:E6"/>
    <x:mergeCell ref="G6:H6"/>
    <x:mergeCell ref="A7:B8"/>
    <x:mergeCell ref="D7:E8"/>
    <x:mergeCell ref="G7:H8"/>
    <x:mergeCell ref="A11:H11"/>
    <x:mergeCell ref="A16:H16"/>
  </x:mergeCells>
  <x:conditionalFormatting sqref="F13:F13">
    <x:cfRule type="containsText" dxfId="5" priority="1" operator="containsText" text="CONCILIADO"/>
    <x:cfRule type="containsText" dxfId="6" priority="2" operator="containsText" text="REVIS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  <x:col min="8" max="8" width="15" hidden="0" customWidth="1"/>
    <x:col min="9" max="9" width="10" hidden="0" customWidth="1"/>
    <x:col min="10" max="10" width="17" hidden="0" customWidth="1"/>
    <x:col min="11" max="11" width="18" hidden="0" customWidth="1"/>
    <x:col min="12" max="12" width="15" hidden="0" customWidth="1"/>
    <x:col min="13" max="13" width="17" hidden="0" customWidth="1"/>
    <x:col min="14" max="14" width="28" hidden="0" customWidth="1"/>
  </x:cols>
  <x:sheetData>
    <x:row r="1" ht="28" customHeight="1">
      <x:c r="A1" s="4" t="str">
        <x:v>Registro de cargos AWS</x:v>
      </x:c>
    </x:row>
    <x:row r="2" ht="22" customHeight="1">
      <x:c r="A2" s="7" t="str">
        <x:v>Carga operativa: una fila por factura, crédito o ajuste. Los importes en ARS se calculan con el tipo de cambio que indiques.</x:v>
      </x:c>
    </x:row>
    <x:row r="4" ht="22" customHeight="1">
      <x:c r="A4" s="10" t="str">
        <x:v>Datos de la factura AWS (amarillo = ingreso manual)</x:v>
      </x:c>
    </x:row>
    <x:row r="5" ht="34" customHeight="1">
      <x:c r="A5" s="51" t="str">
        <x:v>ID interno</x:v>
      </x:c>
      <x:c r="B5" s="52" t="str">
        <x:v>Período
(yyyy-mm)</x:v>
      </x:c>
      <x:c r="C5" s="52" t="str">
        <x:v>Fecha factura</x:v>
      </x:c>
      <x:c r="D5" s="52" t="str">
        <x:v>ID factura AWS</x:v>
      </x:c>
      <x:c r="E5" s="52" t="str">
        <x:v>Cuenta AWS / proyecto</x:v>
      </x:c>
      <x:c r="F5" s="52" t="str">
        <x:v>Servicio / concepto</x:v>
      </x:c>
      <x:c r="G5" s="52" t="str">
        <x:v>Centro de costo</x:v>
      </x:c>
      <x:c r="H5" s="52" t="str">
        <x:v>Importe AWS
(USD)</x:v>
      </x:c>
      <x:c r="I5" s="52" t="str">
        <x:v>Moneda</x:v>
      </x:c>
      <x:c r="J5" s="52" t="str">
        <x:v>Tipo de cambio
(ARS por USD)</x:v>
      </x:c>
      <x:c r="K5" s="52" t="str">
        <x:v>Importe estimado
(ARS)</x:v>
      </x:c>
      <x:c r="L5" s="52" t="str">
        <x:v>Estado TC</x:v>
      </x:c>
      <x:c r="M5" s="52" t="str">
        <x:v>ID resumen TC</x:v>
      </x:c>
      <x:c r="N5" s="53" t="str">
        <x:v>Observaciones</x:v>
      </x:c>
    </x:row>
    <x:row r="6">
      <x:c r="A6" s="118"/>
      <x:c r="B6" s="116"/>
      <x:c r="C6" s="117"/>
      <x:c r="D6" s="118"/>
      <x:c r="E6" s="118"/>
      <x:c r="F6" s="118"/>
      <x:c r="G6" s="118"/>
      <x:c r="H6" s="119"/>
      <x:c r="I6" s="118"/>
      <x:c r="J6" s="120"/>
      <x:c r="K6" s="121" t="str">
        <x:f>IF(OR(H6="",J6=""),"",H6*J6)</x:f>
      </x:c>
      <x:c r="L6" s="118"/>
      <x:c r="M6" s="118"/>
      <x:c r="N6" s="118"/>
    </x:row>
    <x:row r="7">
      <x:c r="A7" s="115"/>
      <x:c r="B7" s="116"/>
      <x:c r="C7" s="117"/>
      <x:c r="D7" s="118"/>
      <x:c r="E7" s="118"/>
      <x:c r="F7" s="118"/>
      <x:c r="G7" s="118"/>
      <x:c r="H7" s="119"/>
      <x:c r="I7" s="118"/>
      <x:c r="J7" s="120"/>
      <x:c r="K7" s="121" t="str">
        <x:f>IF(OR(H7="",J7=""),"",H7*J7)</x:f>
      </x:c>
      <x:c r="L7" s="118"/>
      <x:c r="M7" s="118"/>
      <x:c r="N7" s="122"/>
    </x:row>
    <x:row r="8">
      <x:c r="A8" s="115"/>
      <x:c r="B8" s="116"/>
      <x:c r="C8" s="117"/>
      <x:c r="D8" s="118"/>
      <x:c r="E8" s="118"/>
      <x:c r="F8" s="118"/>
      <x:c r="G8" s="118"/>
      <x:c r="H8" s="119"/>
      <x:c r="I8" s="118"/>
      <x:c r="J8" s="120"/>
      <x:c r="K8" s="121" t="str">
        <x:f>IF(OR(H8="",J8=""),"",H8*J8)</x:f>
      </x:c>
      <x:c r="L8" s="118"/>
      <x:c r="M8" s="118"/>
      <x:c r="N8" s="122"/>
    </x:row>
    <x:row r="9">
      <x:c r="A9" s="115"/>
      <x:c r="B9" s="116"/>
      <x:c r="C9" s="117"/>
      <x:c r="D9" s="118"/>
      <x:c r="E9" s="118"/>
      <x:c r="F9" s="118"/>
      <x:c r="G9" s="118"/>
      <x:c r="H9" s="119"/>
      <x:c r="I9" s="118"/>
      <x:c r="J9" s="120"/>
      <x:c r="K9" s="121" t="str">
        <x:f>IF(OR(H9="",J9=""),"",H9*J9)</x:f>
      </x:c>
      <x:c r="L9" s="118"/>
      <x:c r="M9" s="118"/>
      <x:c r="N9" s="122"/>
    </x:row>
    <x:row r="10">
      <x:c r="A10" s="115"/>
      <x:c r="B10" s="116"/>
      <x:c r="C10" s="117"/>
      <x:c r="D10" s="118"/>
      <x:c r="E10" s="118"/>
      <x:c r="F10" s="118"/>
      <x:c r="G10" s="118"/>
      <x:c r="H10" s="119"/>
      <x:c r="I10" s="118"/>
      <x:c r="J10" s="120"/>
      <x:c r="K10" s="121" t="str">
        <x:f>IF(OR(H10="",J10=""),"",H10*J10)</x:f>
      </x:c>
      <x:c r="L10" s="118"/>
      <x:c r="M10" s="118"/>
      <x:c r="N10" s="122"/>
    </x:row>
    <x:row r="11">
      <x:c r="A11" s="115"/>
      <x:c r="B11" s="116"/>
      <x:c r="C11" s="117"/>
      <x:c r="D11" s="118"/>
      <x:c r="E11" s="118"/>
      <x:c r="F11" s="118"/>
      <x:c r="G11" s="118"/>
      <x:c r="H11" s="119"/>
      <x:c r="I11" s="118"/>
      <x:c r="J11" s="120"/>
      <x:c r="K11" s="121" t="str">
        <x:f>IF(OR(H11="",J11=""),"",H11*J11)</x:f>
      </x:c>
      <x:c r="L11" s="118"/>
      <x:c r="M11" s="118"/>
      <x:c r="N11" s="122"/>
    </x:row>
    <x:row r="12">
      <x:c r="A12" s="115"/>
      <x:c r="B12" s="116"/>
      <x:c r="C12" s="117"/>
      <x:c r="D12" s="118"/>
      <x:c r="E12" s="118"/>
      <x:c r="F12" s="118"/>
      <x:c r="G12" s="118"/>
      <x:c r="H12" s="119"/>
      <x:c r="I12" s="118"/>
      <x:c r="J12" s="120"/>
      <x:c r="K12" s="121" t="str">
        <x:f>IF(OR(H12="",J12=""),"",H12*J12)</x:f>
      </x:c>
      <x:c r="L12" s="118"/>
      <x:c r="M12" s="118"/>
      <x:c r="N12" s="122"/>
    </x:row>
    <x:row r="13">
      <x:c r="A13" s="115"/>
      <x:c r="B13" s="116"/>
      <x:c r="C13" s="117"/>
      <x:c r="D13" s="118"/>
      <x:c r="E13" s="118"/>
      <x:c r="F13" s="118"/>
      <x:c r="G13" s="118"/>
      <x:c r="H13" s="119"/>
      <x:c r="I13" s="118"/>
      <x:c r="J13" s="120"/>
      <x:c r="K13" s="121" t="str">
        <x:f>IF(OR(H13="",J13=""),"",H13*J13)</x:f>
      </x:c>
      <x:c r="L13" s="118"/>
      <x:c r="M13" s="118"/>
      <x:c r="N13" s="122"/>
    </x:row>
    <x:row r="14">
      <x:c r="A14" s="115"/>
      <x:c r="B14" s="116"/>
      <x:c r="C14" s="117"/>
      <x:c r="D14" s="118"/>
      <x:c r="E14" s="118"/>
      <x:c r="F14" s="118"/>
      <x:c r="G14" s="118"/>
      <x:c r="H14" s="119"/>
      <x:c r="I14" s="118"/>
      <x:c r="J14" s="120"/>
      <x:c r="K14" s="121" t="str">
        <x:f>IF(OR(H14="",J14=""),"",H14*J14)</x:f>
      </x:c>
      <x:c r="L14" s="118"/>
      <x:c r="M14" s="118"/>
      <x:c r="N14" s="122"/>
    </x:row>
    <x:row r="15">
      <x:c r="A15" s="115"/>
      <x:c r="B15" s="116"/>
      <x:c r="C15" s="117"/>
      <x:c r="D15" s="118"/>
      <x:c r="E15" s="118"/>
      <x:c r="F15" s="118"/>
      <x:c r="G15" s="118"/>
      <x:c r="H15" s="119"/>
      <x:c r="I15" s="118"/>
      <x:c r="J15" s="120"/>
      <x:c r="K15" s="121" t="str">
        <x:f>IF(OR(H15="",J15=""),"",H15*J15)</x:f>
      </x:c>
      <x:c r="L15" s="118"/>
      <x:c r="M15" s="118"/>
      <x:c r="N15" s="122"/>
    </x:row>
    <x:row r="16">
      <x:c r="A16" s="115"/>
      <x:c r="B16" s="116"/>
      <x:c r="C16" s="117"/>
      <x:c r="D16" s="118"/>
      <x:c r="E16" s="118"/>
      <x:c r="F16" s="118"/>
      <x:c r="G16" s="118"/>
      <x:c r="H16" s="119"/>
      <x:c r="I16" s="118"/>
      <x:c r="J16" s="120"/>
      <x:c r="K16" s="121" t="str">
        <x:f>IF(OR(H16="",J16=""),"",H16*J16)</x:f>
      </x:c>
      <x:c r="L16" s="118"/>
      <x:c r="M16" s="118"/>
      <x:c r="N16" s="122"/>
    </x:row>
    <x:row r="17">
      <x:c r="A17" s="115"/>
      <x:c r="B17" s="116"/>
      <x:c r="C17" s="117"/>
      <x:c r="D17" s="118"/>
      <x:c r="E17" s="118"/>
      <x:c r="F17" s="118"/>
      <x:c r="G17" s="118"/>
      <x:c r="H17" s="119"/>
      <x:c r="I17" s="118"/>
      <x:c r="J17" s="120"/>
      <x:c r="K17" s="121" t="str">
        <x:f>IF(OR(H17="",J17=""),"",H17*J17)</x:f>
      </x:c>
      <x:c r="L17" s="118"/>
      <x:c r="M17" s="118"/>
      <x:c r="N17" s="122"/>
    </x:row>
    <x:row r="18">
      <x:c r="A18" s="115"/>
      <x:c r="B18" s="116"/>
      <x:c r="C18" s="117"/>
      <x:c r="D18" s="118"/>
      <x:c r="E18" s="118"/>
      <x:c r="F18" s="118"/>
      <x:c r="G18" s="118"/>
      <x:c r="H18" s="119"/>
      <x:c r="I18" s="118"/>
      <x:c r="J18" s="120"/>
      <x:c r="K18" s="121" t="str">
        <x:f>IF(OR(H18="",J18=""),"",H18*J18)</x:f>
      </x:c>
      <x:c r="L18" s="118"/>
      <x:c r="M18" s="118"/>
      <x:c r="N18" s="122"/>
    </x:row>
    <x:row r="19">
      <x:c r="A19" s="115"/>
      <x:c r="B19" s="116"/>
      <x:c r="C19" s="117"/>
      <x:c r="D19" s="118"/>
      <x:c r="E19" s="118"/>
      <x:c r="F19" s="118"/>
      <x:c r="G19" s="118"/>
      <x:c r="H19" s="119"/>
      <x:c r="I19" s="118"/>
      <x:c r="J19" s="120"/>
      <x:c r="K19" s="121" t="str">
        <x:f>IF(OR(H19="",J19=""),"",H19*J19)</x:f>
      </x:c>
      <x:c r="L19" s="118"/>
      <x:c r="M19" s="118"/>
      <x:c r="N19" s="122"/>
    </x:row>
    <x:row r="20">
      <x:c r="A20" s="115"/>
      <x:c r="B20" s="116"/>
      <x:c r="C20" s="117"/>
      <x:c r="D20" s="118"/>
      <x:c r="E20" s="118"/>
      <x:c r="F20" s="118"/>
      <x:c r="G20" s="118"/>
      <x:c r="H20" s="119"/>
      <x:c r="I20" s="118"/>
      <x:c r="J20" s="120"/>
      <x:c r="K20" s="121" t="str">
        <x:f>IF(OR(H20="",J20=""),"",H20*J20)</x:f>
      </x:c>
      <x:c r="L20" s="118"/>
      <x:c r="M20" s="118"/>
      <x:c r="N20" s="122"/>
    </x:row>
    <x:row r="21">
      <x:c r="A21" s="115"/>
      <x:c r="B21" s="116"/>
      <x:c r="C21" s="117"/>
      <x:c r="D21" s="118"/>
      <x:c r="E21" s="118"/>
      <x:c r="F21" s="118"/>
      <x:c r="G21" s="118"/>
      <x:c r="H21" s="119"/>
      <x:c r="I21" s="118"/>
      <x:c r="J21" s="120"/>
      <x:c r="K21" s="121" t="str">
        <x:f>IF(OR(H21="",J21=""),"",H21*J21)</x:f>
      </x:c>
      <x:c r="L21" s="118"/>
      <x:c r="M21" s="118"/>
      <x:c r="N21" s="122"/>
    </x:row>
    <x:row r="22">
      <x:c r="A22" s="115"/>
      <x:c r="B22" s="116"/>
      <x:c r="C22" s="117"/>
      <x:c r="D22" s="118"/>
      <x:c r="E22" s="118"/>
      <x:c r="F22" s="118"/>
      <x:c r="G22" s="118"/>
      <x:c r="H22" s="119"/>
      <x:c r="I22" s="118"/>
      <x:c r="J22" s="120"/>
      <x:c r="K22" s="121" t="str">
        <x:f>IF(OR(H22="",J22=""),"",H22*J22)</x:f>
      </x:c>
      <x:c r="L22" s="118"/>
      <x:c r="M22" s="118"/>
      <x:c r="N22" s="122"/>
    </x:row>
    <x:row r="23">
      <x:c r="A23" s="115"/>
      <x:c r="B23" s="116"/>
      <x:c r="C23" s="117"/>
      <x:c r="D23" s="118"/>
      <x:c r="E23" s="118"/>
      <x:c r="F23" s="118"/>
      <x:c r="G23" s="118"/>
      <x:c r="H23" s="119"/>
      <x:c r="I23" s="118"/>
      <x:c r="J23" s="120"/>
      <x:c r="K23" s="121" t="str">
        <x:f>IF(OR(H23="",J23=""),"",H23*J23)</x:f>
      </x:c>
      <x:c r="L23" s="118"/>
      <x:c r="M23" s="118"/>
      <x:c r="N23" s="122"/>
    </x:row>
    <x:row r="24">
      <x:c r="A24" s="115"/>
      <x:c r="B24" s="116"/>
      <x:c r="C24" s="117"/>
      <x:c r="D24" s="118"/>
      <x:c r="E24" s="118"/>
      <x:c r="F24" s="118"/>
      <x:c r="G24" s="118"/>
      <x:c r="H24" s="119"/>
      <x:c r="I24" s="118"/>
      <x:c r="J24" s="120"/>
      <x:c r="K24" s="121" t="str">
        <x:f>IF(OR(H24="",J24=""),"",H24*J24)</x:f>
      </x:c>
      <x:c r="L24" s="118"/>
      <x:c r="M24" s="118"/>
      <x:c r="N24" s="122"/>
    </x:row>
    <x:row r="25">
      <x:c r="A25" s="115"/>
      <x:c r="B25" s="116"/>
      <x:c r="C25" s="117"/>
      <x:c r="D25" s="118"/>
      <x:c r="E25" s="118"/>
      <x:c r="F25" s="118"/>
      <x:c r="G25" s="118"/>
      <x:c r="H25" s="119"/>
      <x:c r="I25" s="118"/>
      <x:c r="J25" s="120"/>
      <x:c r="K25" s="121" t="str">
        <x:f>IF(OR(H25="",J25=""),"",H25*J25)</x:f>
      </x:c>
      <x:c r="L25" s="118"/>
      <x:c r="M25" s="118"/>
      <x:c r="N25" s="122"/>
    </x:row>
    <x:row r="26">
      <x:c r="A26" s="115"/>
      <x:c r="B26" s="116"/>
      <x:c r="C26" s="117"/>
      <x:c r="D26" s="118"/>
      <x:c r="E26" s="118"/>
      <x:c r="F26" s="118"/>
      <x:c r="G26" s="118"/>
      <x:c r="H26" s="119"/>
      <x:c r="I26" s="118"/>
      <x:c r="J26" s="120"/>
      <x:c r="K26" s="121" t="str">
        <x:f>IF(OR(H26="",J26=""),"",H26*J26)</x:f>
      </x:c>
      <x:c r="L26" s="118"/>
      <x:c r="M26" s="118"/>
      <x:c r="N26" s="122"/>
    </x:row>
    <x:row r="27">
      <x:c r="A27" s="115"/>
      <x:c r="B27" s="116"/>
      <x:c r="C27" s="117"/>
      <x:c r="D27" s="118"/>
      <x:c r="E27" s="118"/>
      <x:c r="F27" s="118"/>
      <x:c r="G27" s="118"/>
      <x:c r="H27" s="119"/>
      <x:c r="I27" s="118"/>
      <x:c r="J27" s="120"/>
      <x:c r="K27" s="121" t="str">
        <x:f>IF(OR(H27="",J27=""),"",H27*J27)</x:f>
      </x:c>
      <x:c r="L27" s="118"/>
      <x:c r="M27" s="118"/>
      <x:c r="N27" s="122"/>
    </x:row>
    <x:row r="28">
      <x:c r="A28" s="115"/>
      <x:c r="B28" s="116"/>
      <x:c r="C28" s="117"/>
      <x:c r="D28" s="118"/>
      <x:c r="E28" s="118"/>
      <x:c r="F28" s="118"/>
      <x:c r="G28" s="118"/>
      <x:c r="H28" s="119"/>
      <x:c r="I28" s="118"/>
      <x:c r="J28" s="120"/>
      <x:c r="K28" s="121" t="str">
        <x:f>IF(OR(H28="",J28=""),"",H28*J28)</x:f>
      </x:c>
      <x:c r="L28" s="118"/>
      <x:c r="M28" s="118"/>
      <x:c r="N28" s="122"/>
    </x:row>
    <x:row r="29">
      <x:c r="A29" s="115"/>
      <x:c r="B29" s="116"/>
      <x:c r="C29" s="117"/>
      <x:c r="D29" s="118"/>
      <x:c r="E29" s="118"/>
      <x:c r="F29" s="118"/>
      <x:c r="G29" s="118"/>
      <x:c r="H29" s="119"/>
      <x:c r="I29" s="118"/>
      <x:c r="J29" s="120"/>
      <x:c r="K29" s="121" t="str">
        <x:f>IF(OR(H29="",J29=""),"",H29*J29)</x:f>
      </x:c>
      <x:c r="L29" s="118"/>
      <x:c r="M29" s="118"/>
      <x:c r="N29" s="122"/>
    </x:row>
    <x:row r="30">
      <x:c r="A30" s="115"/>
      <x:c r="B30" s="116"/>
      <x:c r="C30" s="117"/>
      <x:c r="D30" s="118"/>
      <x:c r="E30" s="118"/>
      <x:c r="F30" s="118"/>
      <x:c r="G30" s="118"/>
      <x:c r="H30" s="119"/>
      <x:c r="I30" s="118"/>
      <x:c r="J30" s="120"/>
      <x:c r="K30" s="121" t="str">
        <x:f>IF(OR(H30="",J30=""),"",H30*J30)</x:f>
      </x:c>
      <x:c r="L30" s="118"/>
      <x:c r="M30" s="118"/>
      <x:c r="N30" s="122"/>
    </x:row>
    <x:row r="31">
      <x:c r="A31" s="115"/>
      <x:c r="B31" s="116"/>
      <x:c r="C31" s="117"/>
      <x:c r="D31" s="118"/>
      <x:c r="E31" s="118"/>
      <x:c r="F31" s="118"/>
      <x:c r="G31" s="118"/>
      <x:c r="H31" s="119"/>
      <x:c r="I31" s="118"/>
      <x:c r="J31" s="120"/>
      <x:c r="K31" s="121" t="str">
        <x:f>IF(OR(H31="",J31=""),"",H31*J31)</x:f>
      </x:c>
      <x:c r="L31" s="118"/>
      <x:c r="M31" s="118"/>
      <x:c r="N31" s="122"/>
    </x:row>
    <x:row r="32">
      <x:c r="A32" s="115"/>
      <x:c r="B32" s="116"/>
      <x:c r="C32" s="117"/>
      <x:c r="D32" s="118"/>
      <x:c r="E32" s="118"/>
      <x:c r="F32" s="118"/>
      <x:c r="G32" s="118"/>
      <x:c r="H32" s="119"/>
      <x:c r="I32" s="118"/>
      <x:c r="J32" s="120"/>
      <x:c r="K32" s="121" t="str">
        <x:f>IF(OR(H32="",J32=""),"",H32*J32)</x:f>
      </x:c>
      <x:c r="L32" s="118"/>
      <x:c r="M32" s="118"/>
      <x:c r="N32" s="122"/>
    </x:row>
    <x:row r="33">
      <x:c r="A33" s="115"/>
      <x:c r="B33" s="116"/>
      <x:c r="C33" s="117"/>
      <x:c r="D33" s="118"/>
      <x:c r="E33" s="118"/>
      <x:c r="F33" s="118"/>
      <x:c r="G33" s="118"/>
      <x:c r="H33" s="119"/>
      <x:c r="I33" s="118"/>
      <x:c r="J33" s="120"/>
      <x:c r="K33" s="121" t="str">
        <x:f>IF(OR(H33="",J33=""),"",H33*J33)</x:f>
      </x:c>
      <x:c r="L33" s="118"/>
      <x:c r="M33" s="118"/>
      <x:c r="N33" s="122"/>
    </x:row>
    <x:row r="34">
      <x:c r="A34" s="115"/>
      <x:c r="B34" s="116"/>
      <x:c r="C34" s="117"/>
      <x:c r="D34" s="118"/>
      <x:c r="E34" s="118"/>
      <x:c r="F34" s="118"/>
      <x:c r="G34" s="118"/>
      <x:c r="H34" s="119"/>
      <x:c r="I34" s="118"/>
      <x:c r="J34" s="120"/>
      <x:c r="K34" s="121" t="str">
        <x:f>IF(OR(H34="",J34=""),"",H34*J34)</x:f>
      </x:c>
      <x:c r="L34" s="118"/>
      <x:c r="M34" s="118"/>
      <x:c r="N34" s="122"/>
    </x:row>
    <x:row r="35">
      <x:c r="A35" s="115"/>
      <x:c r="B35" s="116"/>
      <x:c r="C35" s="117"/>
      <x:c r="D35" s="118"/>
      <x:c r="E35" s="118"/>
      <x:c r="F35" s="118"/>
      <x:c r="G35" s="118"/>
      <x:c r="H35" s="119"/>
      <x:c r="I35" s="118"/>
      <x:c r="J35" s="120"/>
      <x:c r="K35" s="121" t="str">
        <x:f>IF(OR(H35="",J35=""),"",H35*J35)</x:f>
      </x:c>
      <x:c r="L35" s="118"/>
      <x:c r="M35" s="118"/>
      <x:c r="N35" s="122"/>
    </x:row>
    <x:row r="36">
      <x:c r="A36" s="115"/>
      <x:c r="B36" s="116"/>
      <x:c r="C36" s="117"/>
      <x:c r="D36" s="118"/>
      <x:c r="E36" s="118"/>
      <x:c r="F36" s="118"/>
      <x:c r="G36" s="118"/>
      <x:c r="H36" s="119"/>
      <x:c r="I36" s="118"/>
      <x:c r="J36" s="120"/>
      <x:c r="K36" s="121" t="str">
        <x:f>IF(OR(H36="",J36=""),"",H36*J36)</x:f>
      </x:c>
      <x:c r="L36" s="118"/>
      <x:c r="M36" s="118"/>
      <x:c r="N36" s="122"/>
    </x:row>
    <x:row r="37">
      <x:c r="A37" s="115"/>
      <x:c r="B37" s="116"/>
      <x:c r="C37" s="117"/>
      <x:c r="D37" s="118"/>
      <x:c r="E37" s="118"/>
      <x:c r="F37" s="118"/>
      <x:c r="G37" s="118"/>
      <x:c r="H37" s="119"/>
      <x:c r="I37" s="118"/>
      <x:c r="J37" s="120"/>
      <x:c r="K37" s="121" t="str">
        <x:f>IF(OR(H37="",J37=""),"",H37*J37)</x:f>
      </x:c>
      <x:c r="L37" s="118"/>
      <x:c r="M37" s="118"/>
      <x:c r="N37" s="122"/>
    </x:row>
    <x:row r="38">
      <x:c r="A38" s="115"/>
      <x:c r="B38" s="116"/>
      <x:c r="C38" s="117"/>
      <x:c r="D38" s="118"/>
      <x:c r="E38" s="118"/>
      <x:c r="F38" s="118"/>
      <x:c r="G38" s="118"/>
      <x:c r="H38" s="119"/>
      <x:c r="I38" s="118"/>
      <x:c r="J38" s="120"/>
      <x:c r="K38" s="121" t="str">
        <x:f>IF(OR(H38="",J38=""),"",H38*J38)</x:f>
      </x:c>
      <x:c r="L38" s="118"/>
      <x:c r="M38" s="118"/>
      <x:c r="N38" s="122"/>
    </x:row>
    <x:row r="39">
      <x:c r="A39" s="115"/>
      <x:c r="B39" s="116"/>
      <x:c r="C39" s="117"/>
      <x:c r="D39" s="118"/>
      <x:c r="E39" s="118"/>
      <x:c r="F39" s="118"/>
      <x:c r="G39" s="118"/>
      <x:c r="H39" s="119"/>
      <x:c r="I39" s="118"/>
      <x:c r="J39" s="120"/>
      <x:c r="K39" s="121" t="str">
        <x:f>IF(OR(H39="",J39=""),"",H39*J39)</x:f>
      </x:c>
      <x:c r="L39" s="118"/>
      <x:c r="M39" s="118"/>
      <x:c r="N39" s="122"/>
    </x:row>
    <x:row r="40">
      <x:c r="A40" s="115"/>
      <x:c r="B40" s="116"/>
      <x:c r="C40" s="117"/>
      <x:c r="D40" s="118"/>
      <x:c r="E40" s="118"/>
      <x:c r="F40" s="118"/>
      <x:c r="G40" s="118"/>
      <x:c r="H40" s="119"/>
      <x:c r="I40" s="118"/>
      <x:c r="J40" s="120"/>
      <x:c r="K40" s="121" t="str">
        <x:f>IF(OR(H40="",J40=""),"",H40*J40)</x:f>
      </x:c>
      <x:c r="L40" s="118"/>
      <x:c r="M40" s="118"/>
      <x:c r="N40" s="122"/>
    </x:row>
    <x:row r="41">
      <x:c r="A41" s="115"/>
      <x:c r="B41" s="116"/>
      <x:c r="C41" s="117"/>
      <x:c r="D41" s="118"/>
      <x:c r="E41" s="118"/>
      <x:c r="F41" s="118"/>
      <x:c r="G41" s="118"/>
      <x:c r="H41" s="119"/>
      <x:c r="I41" s="118"/>
      <x:c r="J41" s="120"/>
      <x:c r="K41" s="121" t="str">
        <x:f>IF(OR(H41="",J41=""),"",H41*J41)</x:f>
      </x:c>
      <x:c r="L41" s="118"/>
      <x:c r="M41" s="118"/>
      <x:c r="N41" s="122"/>
    </x:row>
    <x:row r="42">
      <x:c r="A42" s="115"/>
      <x:c r="B42" s="116"/>
      <x:c r="C42" s="117"/>
      <x:c r="D42" s="118"/>
      <x:c r="E42" s="118"/>
      <x:c r="F42" s="118"/>
      <x:c r="G42" s="118"/>
      <x:c r="H42" s="119"/>
      <x:c r="I42" s="118"/>
      <x:c r="J42" s="120"/>
      <x:c r="K42" s="121" t="str">
        <x:f>IF(OR(H42="",J42=""),"",H42*J42)</x:f>
      </x:c>
      <x:c r="L42" s="118"/>
      <x:c r="M42" s="118"/>
      <x:c r="N42" s="122"/>
    </x:row>
    <x:row r="43">
      <x:c r="A43" s="115"/>
      <x:c r="B43" s="116"/>
      <x:c r="C43" s="117"/>
      <x:c r="D43" s="118"/>
      <x:c r="E43" s="118"/>
      <x:c r="F43" s="118"/>
      <x:c r="G43" s="118"/>
      <x:c r="H43" s="119"/>
      <x:c r="I43" s="118"/>
      <x:c r="J43" s="120"/>
      <x:c r="K43" s="121" t="str">
        <x:f>IF(OR(H43="",J43=""),"",H43*J43)</x:f>
      </x:c>
      <x:c r="L43" s="118"/>
      <x:c r="M43" s="118"/>
      <x:c r="N43" s="122"/>
    </x:row>
    <x:row r="44">
      <x:c r="A44" s="115"/>
      <x:c r="B44" s="116"/>
      <x:c r="C44" s="117"/>
      <x:c r="D44" s="118"/>
      <x:c r="E44" s="118"/>
      <x:c r="F44" s="118"/>
      <x:c r="G44" s="118"/>
      <x:c r="H44" s="119"/>
      <x:c r="I44" s="118"/>
      <x:c r="J44" s="120"/>
      <x:c r="K44" s="121" t="str">
        <x:f>IF(OR(H44="",J44=""),"",H44*J44)</x:f>
      </x:c>
      <x:c r="L44" s="118"/>
      <x:c r="M44" s="118"/>
      <x:c r="N44" s="122"/>
    </x:row>
    <x:row r="45">
      <x:c r="A45" s="115"/>
      <x:c r="B45" s="116"/>
      <x:c r="C45" s="117"/>
      <x:c r="D45" s="118"/>
      <x:c r="E45" s="118"/>
      <x:c r="F45" s="118"/>
      <x:c r="G45" s="118"/>
      <x:c r="H45" s="119"/>
      <x:c r="I45" s="118"/>
      <x:c r="J45" s="120"/>
      <x:c r="K45" s="121" t="str">
        <x:f>IF(OR(H45="",J45=""),"",H45*J45)</x:f>
      </x:c>
      <x:c r="L45" s="118"/>
      <x:c r="M45" s="118"/>
      <x:c r="N45" s="122"/>
    </x:row>
    <x:row r="46">
      <x:c r="A46" s="115"/>
      <x:c r="B46" s="116"/>
      <x:c r="C46" s="117"/>
      <x:c r="D46" s="118"/>
      <x:c r="E46" s="118"/>
      <x:c r="F46" s="118"/>
      <x:c r="G46" s="118"/>
      <x:c r="H46" s="119"/>
      <x:c r="I46" s="118"/>
      <x:c r="J46" s="120"/>
      <x:c r="K46" s="121" t="str">
        <x:f>IF(OR(H46="",J46=""),"",H46*J46)</x:f>
      </x:c>
      <x:c r="L46" s="118"/>
      <x:c r="M46" s="118"/>
      <x:c r="N46" s="122"/>
    </x:row>
    <x:row r="47">
      <x:c r="A47" s="115"/>
      <x:c r="B47" s="116"/>
      <x:c r="C47" s="117"/>
      <x:c r="D47" s="118"/>
      <x:c r="E47" s="118"/>
      <x:c r="F47" s="118"/>
      <x:c r="G47" s="118"/>
      <x:c r="H47" s="119"/>
      <x:c r="I47" s="118"/>
      <x:c r="J47" s="120"/>
      <x:c r="K47" s="121" t="str">
        <x:f>IF(OR(H47="",J47=""),"",H47*J47)</x:f>
      </x:c>
      <x:c r="L47" s="118"/>
      <x:c r="M47" s="118"/>
      <x:c r="N47" s="122"/>
    </x:row>
    <x:row r="48">
      <x:c r="A48" s="115"/>
      <x:c r="B48" s="116"/>
      <x:c r="C48" s="117"/>
      <x:c r="D48" s="118"/>
      <x:c r="E48" s="118"/>
      <x:c r="F48" s="118"/>
      <x:c r="G48" s="118"/>
      <x:c r="H48" s="119"/>
      <x:c r="I48" s="118"/>
      <x:c r="J48" s="120"/>
      <x:c r="K48" s="121" t="str">
        <x:f>IF(OR(H48="",J48=""),"",H48*J48)</x:f>
      </x:c>
      <x:c r="L48" s="118"/>
      <x:c r="M48" s="118"/>
      <x:c r="N48" s="122"/>
    </x:row>
    <x:row r="49">
      <x:c r="A49" s="115"/>
      <x:c r="B49" s="116"/>
      <x:c r="C49" s="117"/>
      <x:c r="D49" s="118"/>
      <x:c r="E49" s="118"/>
      <x:c r="F49" s="118"/>
      <x:c r="G49" s="118"/>
      <x:c r="H49" s="119"/>
      <x:c r="I49" s="118"/>
      <x:c r="J49" s="120"/>
      <x:c r="K49" s="121" t="str">
        <x:f>IF(OR(H49="",J49=""),"",H49*J49)</x:f>
      </x:c>
      <x:c r="L49" s="118"/>
      <x:c r="M49" s="118"/>
      <x:c r="N49" s="122"/>
    </x:row>
    <x:row r="50">
      <x:c r="A50" s="115"/>
      <x:c r="B50" s="116"/>
      <x:c r="C50" s="117"/>
      <x:c r="D50" s="118"/>
      <x:c r="E50" s="118"/>
      <x:c r="F50" s="118"/>
      <x:c r="G50" s="118"/>
      <x:c r="H50" s="119"/>
      <x:c r="I50" s="118"/>
      <x:c r="J50" s="120"/>
      <x:c r="K50" s="121" t="str">
        <x:f>IF(OR(H50="",J50=""),"",H50*J50)</x:f>
      </x:c>
      <x:c r="L50" s="118"/>
      <x:c r="M50" s="118"/>
      <x:c r="N50" s="122"/>
    </x:row>
    <x:row r="51">
      <x:c r="A51" s="115"/>
      <x:c r="B51" s="116"/>
      <x:c r="C51" s="117"/>
      <x:c r="D51" s="118"/>
      <x:c r="E51" s="118"/>
      <x:c r="F51" s="118"/>
      <x:c r="G51" s="118"/>
      <x:c r="H51" s="119"/>
      <x:c r="I51" s="118"/>
      <x:c r="J51" s="120"/>
      <x:c r="K51" s="121" t="str">
        <x:f>IF(OR(H51="",J51=""),"",H51*J51)</x:f>
      </x:c>
      <x:c r="L51" s="118"/>
      <x:c r="M51" s="118"/>
      <x:c r="N51" s="122"/>
    </x:row>
    <x:row r="52">
      <x:c r="A52" s="115"/>
      <x:c r="B52" s="116"/>
      <x:c r="C52" s="117"/>
      <x:c r="D52" s="118"/>
      <x:c r="E52" s="118"/>
      <x:c r="F52" s="118"/>
      <x:c r="G52" s="118"/>
      <x:c r="H52" s="119"/>
      <x:c r="I52" s="118"/>
      <x:c r="J52" s="120"/>
      <x:c r="K52" s="121" t="str">
        <x:f>IF(OR(H52="",J52=""),"",H52*J52)</x:f>
      </x:c>
      <x:c r="L52" s="118"/>
      <x:c r="M52" s="118"/>
      <x:c r="N52" s="122"/>
    </x:row>
    <x:row r="53">
      <x:c r="A53" s="115"/>
      <x:c r="B53" s="116"/>
      <x:c r="C53" s="117"/>
      <x:c r="D53" s="118"/>
      <x:c r="E53" s="118"/>
      <x:c r="F53" s="118"/>
      <x:c r="G53" s="118"/>
      <x:c r="H53" s="119"/>
      <x:c r="I53" s="118"/>
      <x:c r="J53" s="120"/>
      <x:c r="K53" s="121" t="str">
        <x:f>IF(OR(H53="",J53=""),"",H53*J53)</x:f>
      </x:c>
      <x:c r="L53" s="118"/>
      <x:c r="M53" s="118"/>
      <x:c r="N53" s="122"/>
    </x:row>
    <x:row r="54">
      <x:c r="A54" s="115"/>
      <x:c r="B54" s="116"/>
      <x:c r="C54" s="117"/>
      <x:c r="D54" s="118"/>
      <x:c r="E54" s="118"/>
      <x:c r="F54" s="118"/>
      <x:c r="G54" s="118"/>
      <x:c r="H54" s="119"/>
      <x:c r="I54" s="118"/>
      <x:c r="J54" s="120"/>
      <x:c r="K54" s="121" t="str">
        <x:f>IF(OR(H54="",J54=""),"",H54*J54)</x:f>
      </x:c>
      <x:c r="L54" s="118"/>
      <x:c r="M54" s="118"/>
      <x:c r="N54" s="122"/>
    </x:row>
    <x:row r="55">
      <x:c r="A55" s="115"/>
      <x:c r="B55" s="116"/>
      <x:c r="C55" s="117"/>
      <x:c r="D55" s="118"/>
      <x:c r="E55" s="118"/>
      <x:c r="F55" s="118"/>
      <x:c r="G55" s="118"/>
      <x:c r="H55" s="119"/>
      <x:c r="I55" s="118"/>
      <x:c r="J55" s="120"/>
      <x:c r="K55" s="121" t="str">
        <x:f>IF(OR(H55="",J55=""),"",H55*J55)</x:f>
      </x:c>
      <x:c r="L55" s="118"/>
      <x:c r="M55" s="118"/>
      <x:c r="N55" s="122"/>
    </x:row>
    <x:row r="56">
      <x:c r="A56" s="115"/>
      <x:c r="B56" s="116"/>
      <x:c r="C56" s="117"/>
      <x:c r="D56" s="118"/>
      <x:c r="E56" s="118"/>
      <x:c r="F56" s="118"/>
      <x:c r="G56" s="118"/>
      <x:c r="H56" s="119"/>
      <x:c r="I56" s="118"/>
      <x:c r="J56" s="120"/>
      <x:c r="K56" s="121" t="str">
        <x:f>IF(OR(H56="",J56=""),"",H56*J56)</x:f>
      </x:c>
      <x:c r="L56" s="118"/>
      <x:c r="M56" s="118"/>
      <x:c r="N56" s="122"/>
    </x:row>
    <x:row r="57">
      <x:c r="A57" s="115"/>
      <x:c r="B57" s="116"/>
      <x:c r="C57" s="117"/>
      <x:c r="D57" s="118"/>
      <x:c r="E57" s="118"/>
      <x:c r="F57" s="118"/>
      <x:c r="G57" s="118"/>
      <x:c r="H57" s="119"/>
      <x:c r="I57" s="118"/>
      <x:c r="J57" s="120"/>
      <x:c r="K57" s="121" t="str">
        <x:f>IF(OR(H57="",J57=""),"",H57*J57)</x:f>
      </x:c>
      <x:c r="L57" s="118"/>
      <x:c r="M57" s="118"/>
      <x:c r="N57" s="122"/>
    </x:row>
    <x:row r="58">
      <x:c r="A58" s="115"/>
      <x:c r="B58" s="116"/>
      <x:c r="C58" s="117"/>
      <x:c r="D58" s="118"/>
      <x:c r="E58" s="118"/>
      <x:c r="F58" s="118"/>
      <x:c r="G58" s="118"/>
      <x:c r="H58" s="119"/>
      <x:c r="I58" s="118"/>
      <x:c r="J58" s="120"/>
      <x:c r="K58" s="121" t="str">
        <x:f>IF(OR(H58="",J58=""),"",H58*J58)</x:f>
      </x:c>
      <x:c r="L58" s="118"/>
      <x:c r="M58" s="118"/>
      <x:c r="N58" s="122"/>
    </x:row>
    <x:row r="59">
      <x:c r="A59" s="115"/>
      <x:c r="B59" s="116"/>
      <x:c r="C59" s="117"/>
      <x:c r="D59" s="118"/>
      <x:c r="E59" s="118"/>
      <x:c r="F59" s="118"/>
      <x:c r="G59" s="118"/>
      <x:c r="H59" s="119"/>
      <x:c r="I59" s="118"/>
      <x:c r="J59" s="120"/>
      <x:c r="K59" s="121" t="str">
        <x:f>IF(OR(H59="",J59=""),"",H59*J59)</x:f>
      </x:c>
      <x:c r="L59" s="118"/>
      <x:c r="M59" s="118"/>
      <x:c r="N59" s="122"/>
    </x:row>
    <x:row r="60">
      <x:c r="A60" s="115"/>
      <x:c r="B60" s="116"/>
      <x:c r="C60" s="117"/>
      <x:c r="D60" s="118"/>
      <x:c r="E60" s="118"/>
      <x:c r="F60" s="118"/>
      <x:c r="G60" s="118"/>
      <x:c r="H60" s="119"/>
      <x:c r="I60" s="118"/>
      <x:c r="J60" s="120"/>
      <x:c r="K60" s="121" t="str">
        <x:f>IF(OR(H60="",J60=""),"",H60*J60)</x:f>
      </x:c>
      <x:c r="L60" s="118"/>
      <x:c r="M60" s="118"/>
      <x:c r="N60" s="122"/>
    </x:row>
    <x:row r="61">
      <x:c r="A61" s="115"/>
      <x:c r="B61" s="116"/>
      <x:c r="C61" s="117"/>
      <x:c r="D61" s="118"/>
      <x:c r="E61" s="118"/>
      <x:c r="F61" s="118"/>
      <x:c r="G61" s="118"/>
      <x:c r="H61" s="119"/>
      <x:c r="I61" s="118"/>
      <x:c r="J61" s="120"/>
      <x:c r="K61" s="121" t="str">
        <x:f>IF(OR(H61="",J61=""),"",H61*J61)</x:f>
      </x:c>
      <x:c r="L61" s="118"/>
      <x:c r="M61" s="118"/>
      <x:c r="N61" s="122"/>
    </x:row>
    <x:row r="62">
      <x:c r="A62" s="115"/>
      <x:c r="B62" s="116"/>
      <x:c r="C62" s="117"/>
      <x:c r="D62" s="118"/>
      <x:c r="E62" s="118"/>
      <x:c r="F62" s="118"/>
      <x:c r="G62" s="118"/>
      <x:c r="H62" s="119"/>
      <x:c r="I62" s="118"/>
      <x:c r="J62" s="120"/>
      <x:c r="K62" s="121" t="str">
        <x:f>IF(OR(H62="",J62=""),"",H62*J62)</x:f>
      </x:c>
      <x:c r="L62" s="118"/>
      <x:c r="M62" s="118"/>
      <x:c r="N62" s="122"/>
    </x:row>
    <x:row r="63">
      <x:c r="A63" s="115"/>
      <x:c r="B63" s="116"/>
      <x:c r="C63" s="117"/>
      <x:c r="D63" s="118"/>
      <x:c r="E63" s="118"/>
      <x:c r="F63" s="118"/>
      <x:c r="G63" s="118"/>
      <x:c r="H63" s="119"/>
      <x:c r="I63" s="118"/>
      <x:c r="J63" s="120"/>
      <x:c r="K63" s="121" t="str">
        <x:f>IF(OR(H63="",J63=""),"",H63*J63)</x:f>
      </x:c>
      <x:c r="L63" s="118"/>
      <x:c r="M63" s="118"/>
      <x:c r="N63" s="122"/>
    </x:row>
    <x:row r="64">
      <x:c r="A64" s="115"/>
      <x:c r="B64" s="116"/>
      <x:c r="C64" s="117"/>
      <x:c r="D64" s="118"/>
      <x:c r="E64" s="118"/>
      <x:c r="F64" s="118"/>
      <x:c r="G64" s="118"/>
      <x:c r="H64" s="119"/>
      <x:c r="I64" s="118"/>
      <x:c r="J64" s="120"/>
      <x:c r="K64" s="121" t="str">
        <x:f>IF(OR(H64="",J64=""),"",H64*J64)</x:f>
      </x:c>
      <x:c r="L64" s="118"/>
      <x:c r="M64" s="118"/>
      <x:c r="N64" s="122"/>
    </x:row>
    <x:row r="65">
      <x:c r="A65" s="115"/>
      <x:c r="B65" s="116"/>
      <x:c r="C65" s="117"/>
      <x:c r="D65" s="118"/>
      <x:c r="E65" s="118"/>
      <x:c r="F65" s="118"/>
      <x:c r="G65" s="118"/>
      <x:c r="H65" s="119"/>
      <x:c r="I65" s="118"/>
      <x:c r="J65" s="120"/>
      <x:c r="K65" s="121" t="str">
        <x:f>IF(OR(H65="",J65=""),"",H65*J65)</x:f>
      </x:c>
      <x:c r="L65" s="118"/>
      <x:c r="M65" s="118"/>
      <x:c r="N65" s="122"/>
    </x:row>
    <x:row r="66">
      <x:c r="A66" s="115"/>
      <x:c r="B66" s="116"/>
      <x:c r="C66" s="117"/>
      <x:c r="D66" s="118"/>
      <x:c r="E66" s="118"/>
      <x:c r="F66" s="118"/>
      <x:c r="G66" s="118"/>
      <x:c r="H66" s="119"/>
      <x:c r="I66" s="118"/>
      <x:c r="J66" s="120"/>
      <x:c r="K66" s="121" t="str">
        <x:f>IF(OR(H66="",J66=""),"",H66*J66)</x:f>
      </x:c>
      <x:c r="L66" s="118"/>
      <x:c r="M66" s="118"/>
      <x:c r="N66" s="122"/>
    </x:row>
    <x:row r="67">
      <x:c r="A67" s="115"/>
      <x:c r="B67" s="116"/>
      <x:c r="C67" s="117"/>
      <x:c r="D67" s="118"/>
      <x:c r="E67" s="118"/>
      <x:c r="F67" s="118"/>
      <x:c r="G67" s="118"/>
      <x:c r="H67" s="119"/>
      <x:c r="I67" s="118"/>
      <x:c r="J67" s="120"/>
      <x:c r="K67" s="121" t="str">
        <x:f>IF(OR(H67="",J67=""),"",H67*J67)</x:f>
      </x:c>
      <x:c r="L67" s="118"/>
      <x:c r="M67" s="118"/>
      <x:c r="N67" s="122"/>
    </x:row>
    <x:row r="68">
      <x:c r="A68" s="115"/>
      <x:c r="B68" s="116"/>
      <x:c r="C68" s="117"/>
      <x:c r="D68" s="118"/>
      <x:c r="E68" s="118"/>
      <x:c r="F68" s="118"/>
      <x:c r="G68" s="118"/>
      <x:c r="H68" s="119"/>
      <x:c r="I68" s="118"/>
      <x:c r="J68" s="120"/>
      <x:c r="K68" s="121" t="str">
        <x:f>IF(OR(H68="",J68=""),"",H68*J68)</x:f>
      </x:c>
      <x:c r="L68" s="118"/>
      <x:c r="M68" s="118"/>
      <x:c r="N68" s="122"/>
    </x:row>
    <x:row r="69">
      <x:c r="A69" s="115"/>
      <x:c r="B69" s="116"/>
      <x:c r="C69" s="117"/>
      <x:c r="D69" s="118"/>
      <x:c r="E69" s="118"/>
      <x:c r="F69" s="118"/>
      <x:c r="G69" s="118"/>
      <x:c r="H69" s="119"/>
      <x:c r="I69" s="118"/>
      <x:c r="J69" s="120"/>
      <x:c r="K69" s="121" t="str">
        <x:f>IF(OR(H69="",J69=""),"",H69*J69)</x:f>
      </x:c>
      <x:c r="L69" s="118"/>
      <x:c r="M69" s="118"/>
      <x:c r="N69" s="122"/>
    </x:row>
    <x:row r="70">
      <x:c r="A70" s="115"/>
      <x:c r="B70" s="116"/>
      <x:c r="C70" s="117"/>
      <x:c r="D70" s="118"/>
      <x:c r="E70" s="118"/>
      <x:c r="F70" s="118"/>
      <x:c r="G70" s="118"/>
      <x:c r="H70" s="119"/>
      <x:c r="I70" s="118"/>
      <x:c r="J70" s="120"/>
      <x:c r="K70" s="121" t="str">
        <x:f>IF(OR(H70="",J70=""),"",H70*J70)</x:f>
      </x:c>
      <x:c r="L70" s="118"/>
      <x:c r="M70" s="118"/>
      <x:c r="N70" s="122"/>
    </x:row>
    <x:row r="71">
      <x:c r="A71" s="115"/>
      <x:c r="B71" s="116"/>
      <x:c r="C71" s="117"/>
      <x:c r="D71" s="118"/>
      <x:c r="E71" s="118"/>
      <x:c r="F71" s="118"/>
      <x:c r="G71" s="118"/>
      <x:c r="H71" s="119"/>
      <x:c r="I71" s="118"/>
      <x:c r="J71" s="120"/>
      <x:c r="K71" s="121" t="str">
        <x:f>IF(OR(H71="",J71=""),"",H71*J71)</x:f>
      </x:c>
      <x:c r="L71" s="118"/>
      <x:c r="M71" s="118"/>
      <x:c r="N71" s="122"/>
    </x:row>
    <x:row r="72">
      <x:c r="A72" s="115"/>
      <x:c r="B72" s="116"/>
      <x:c r="C72" s="117"/>
      <x:c r="D72" s="118"/>
      <x:c r="E72" s="118"/>
      <x:c r="F72" s="118"/>
      <x:c r="G72" s="118"/>
      <x:c r="H72" s="119"/>
      <x:c r="I72" s="118"/>
      <x:c r="J72" s="120"/>
      <x:c r="K72" s="121" t="str">
        <x:f>IF(OR(H72="",J72=""),"",H72*J72)</x:f>
      </x:c>
      <x:c r="L72" s="118"/>
      <x:c r="M72" s="118"/>
      <x:c r="N72" s="122"/>
    </x:row>
    <x:row r="73">
      <x:c r="A73" s="115"/>
      <x:c r="B73" s="116"/>
      <x:c r="C73" s="117"/>
      <x:c r="D73" s="118"/>
      <x:c r="E73" s="118"/>
      <x:c r="F73" s="118"/>
      <x:c r="G73" s="118"/>
      <x:c r="H73" s="119"/>
      <x:c r="I73" s="118"/>
      <x:c r="J73" s="120"/>
      <x:c r="K73" s="121" t="str">
        <x:f>IF(OR(H73="",J73=""),"",H73*J73)</x:f>
      </x:c>
      <x:c r="L73" s="118"/>
      <x:c r="M73" s="118"/>
      <x:c r="N73" s="122"/>
    </x:row>
    <x:row r="74">
      <x:c r="A74" s="115"/>
      <x:c r="B74" s="116"/>
      <x:c r="C74" s="117"/>
      <x:c r="D74" s="118"/>
      <x:c r="E74" s="118"/>
      <x:c r="F74" s="118"/>
      <x:c r="G74" s="118"/>
      <x:c r="H74" s="119"/>
      <x:c r="I74" s="118"/>
      <x:c r="J74" s="120"/>
      <x:c r="K74" s="121" t="str">
        <x:f>IF(OR(H74="",J74=""),"",H74*J74)</x:f>
      </x:c>
      <x:c r="L74" s="118"/>
      <x:c r="M74" s="118"/>
      <x:c r="N74" s="122"/>
    </x:row>
    <x:row r="75">
      <x:c r="A75" s="115"/>
      <x:c r="B75" s="116"/>
      <x:c r="C75" s="117"/>
      <x:c r="D75" s="118"/>
      <x:c r="E75" s="118"/>
      <x:c r="F75" s="118"/>
      <x:c r="G75" s="118"/>
      <x:c r="H75" s="119"/>
      <x:c r="I75" s="118"/>
      <x:c r="J75" s="120"/>
      <x:c r="K75" s="121" t="str">
        <x:f>IF(OR(H75="",J75=""),"",H75*J75)</x:f>
      </x:c>
      <x:c r="L75" s="118"/>
      <x:c r="M75" s="118"/>
      <x:c r="N75" s="122"/>
    </x:row>
    <x:row r="76">
      <x:c r="A76" s="115"/>
      <x:c r="B76" s="116"/>
      <x:c r="C76" s="117"/>
      <x:c r="D76" s="118"/>
      <x:c r="E76" s="118"/>
      <x:c r="F76" s="118"/>
      <x:c r="G76" s="118"/>
      <x:c r="H76" s="119"/>
      <x:c r="I76" s="118"/>
      <x:c r="J76" s="120"/>
      <x:c r="K76" s="121" t="str">
        <x:f>IF(OR(H76="",J76=""),"",H76*J76)</x:f>
      </x:c>
      <x:c r="L76" s="118"/>
      <x:c r="M76" s="118"/>
      <x:c r="N76" s="122"/>
    </x:row>
    <x:row r="77">
      <x:c r="A77" s="115"/>
      <x:c r="B77" s="116"/>
      <x:c r="C77" s="117"/>
      <x:c r="D77" s="118"/>
      <x:c r="E77" s="118"/>
      <x:c r="F77" s="118"/>
      <x:c r="G77" s="118"/>
      <x:c r="H77" s="119"/>
      <x:c r="I77" s="118"/>
      <x:c r="J77" s="120"/>
      <x:c r="K77" s="121" t="str">
        <x:f>IF(OR(H77="",J77=""),"",H77*J77)</x:f>
      </x:c>
      <x:c r="L77" s="118"/>
      <x:c r="M77" s="118"/>
      <x:c r="N77" s="122"/>
    </x:row>
    <x:row r="78">
      <x:c r="A78" s="115"/>
      <x:c r="B78" s="116"/>
      <x:c r="C78" s="117"/>
      <x:c r="D78" s="118"/>
      <x:c r="E78" s="118"/>
      <x:c r="F78" s="118"/>
      <x:c r="G78" s="118"/>
      <x:c r="H78" s="119"/>
      <x:c r="I78" s="118"/>
      <x:c r="J78" s="120"/>
      <x:c r="K78" s="121" t="str">
        <x:f>IF(OR(H78="",J78=""),"",H78*J78)</x:f>
      </x:c>
      <x:c r="L78" s="118"/>
      <x:c r="M78" s="118"/>
      <x:c r="N78" s="122"/>
    </x:row>
    <x:row r="79">
      <x:c r="A79" s="115"/>
      <x:c r="B79" s="116"/>
      <x:c r="C79" s="117"/>
      <x:c r="D79" s="118"/>
      <x:c r="E79" s="118"/>
      <x:c r="F79" s="118"/>
      <x:c r="G79" s="118"/>
      <x:c r="H79" s="119"/>
      <x:c r="I79" s="118"/>
      <x:c r="J79" s="120"/>
      <x:c r="K79" s="121" t="str">
        <x:f>IF(OR(H79="",J79=""),"",H79*J79)</x:f>
      </x:c>
      <x:c r="L79" s="118"/>
      <x:c r="M79" s="118"/>
      <x:c r="N79" s="122"/>
    </x:row>
    <x:row r="80">
      <x:c r="A80" s="115"/>
      <x:c r="B80" s="116"/>
      <x:c r="C80" s="117"/>
      <x:c r="D80" s="118"/>
      <x:c r="E80" s="118"/>
      <x:c r="F80" s="118"/>
      <x:c r="G80" s="118"/>
      <x:c r="H80" s="119"/>
      <x:c r="I80" s="118"/>
      <x:c r="J80" s="120"/>
      <x:c r="K80" s="121" t="str">
        <x:f>IF(OR(H80="",J80=""),"",H80*J80)</x:f>
      </x:c>
      <x:c r="L80" s="118"/>
      <x:c r="M80" s="118"/>
      <x:c r="N80" s="122"/>
    </x:row>
    <x:row r="81">
      <x:c r="A81" s="115"/>
      <x:c r="B81" s="116"/>
      <x:c r="C81" s="117"/>
      <x:c r="D81" s="118"/>
      <x:c r="E81" s="118"/>
      <x:c r="F81" s="118"/>
      <x:c r="G81" s="118"/>
      <x:c r="H81" s="119"/>
      <x:c r="I81" s="118"/>
      <x:c r="J81" s="120"/>
      <x:c r="K81" s="121" t="str">
        <x:f>IF(OR(H81="",J81=""),"",H81*J81)</x:f>
      </x:c>
      <x:c r="L81" s="118"/>
      <x:c r="M81" s="118"/>
      <x:c r="N81" s="122"/>
    </x:row>
    <x:row r="82">
      <x:c r="A82" s="115"/>
      <x:c r="B82" s="116"/>
      <x:c r="C82" s="117"/>
      <x:c r="D82" s="118"/>
      <x:c r="E82" s="118"/>
      <x:c r="F82" s="118"/>
      <x:c r="G82" s="118"/>
      <x:c r="H82" s="119"/>
      <x:c r="I82" s="118"/>
      <x:c r="J82" s="120"/>
      <x:c r="K82" s="121" t="str">
        <x:f>IF(OR(H82="",J82=""),"",H82*J82)</x:f>
      </x:c>
      <x:c r="L82" s="118"/>
      <x:c r="M82" s="118"/>
      <x:c r="N82" s="122"/>
    </x:row>
    <x:row r="83">
      <x:c r="A83" s="115"/>
      <x:c r="B83" s="116"/>
      <x:c r="C83" s="117"/>
      <x:c r="D83" s="118"/>
      <x:c r="E83" s="118"/>
      <x:c r="F83" s="118"/>
      <x:c r="G83" s="118"/>
      <x:c r="H83" s="119"/>
      <x:c r="I83" s="118"/>
      <x:c r="J83" s="120"/>
      <x:c r="K83" s="121" t="str">
        <x:f>IF(OR(H83="",J83=""),"",H83*J83)</x:f>
      </x:c>
      <x:c r="L83" s="118"/>
      <x:c r="M83" s="118"/>
      <x:c r="N83" s="122"/>
    </x:row>
    <x:row r="84">
      <x:c r="A84" s="115"/>
      <x:c r="B84" s="116"/>
      <x:c r="C84" s="117"/>
      <x:c r="D84" s="118"/>
      <x:c r="E84" s="118"/>
      <x:c r="F84" s="118"/>
      <x:c r="G84" s="118"/>
      <x:c r="H84" s="119"/>
      <x:c r="I84" s="118"/>
      <x:c r="J84" s="120"/>
      <x:c r="K84" s="121" t="str">
        <x:f>IF(OR(H84="",J84=""),"",H84*J84)</x:f>
      </x:c>
      <x:c r="L84" s="118"/>
      <x:c r="M84" s="118"/>
      <x:c r="N84" s="122"/>
    </x:row>
    <x:row r="85">
      <x:c r="A85" s="115"/>
      <x:c r="B85" s="116"/>
      <x:c r="C85" s="117"/>
      <x:c r="D85" s="118"/>
      <x:c r="E85" s="118"/>
      <x:c r="F85" s="118"/>
      <x:c r="G85" s="118"/>
      <x:c r="H85" s="119"/>
      <x:c r="I85" s="118"/>
      <x:c r="J85" s="120"/>
      <x:c r="K85" s="121" t="str">
        <x:f>IF(OR(H85="",J85=""),"",H85*J85)</x:f>
      </x:c>
      <x:c r="L85" s="118"/>
      <x:c r="M85" s="118"/>
      <x:c r="N85" s="122"/>
    </x:row>
    <x:row r="86">
      <x:c r="A86" s="115"/>
      <x:c r="B86" s="116"/>
      <x:c r="C86" s="117"/>
      <x:c r="D86" s="118"/>
      <x:c r="E86" s="118"/>
      <x:c r="F86" s="118"/>
      <x:c r="G86" s="118"/>
      <x:c r="H86" s="119"/>
      <x:c r="I86" s="118"/>
      <x:c r="J86" s="120"/>
      <x:c r="K86" s="121" t="str">
        <x:f>IF(OR(H86="",J86=""),"",H86*J86)</x:f>
      </x:c>
      <x:c r="L86" s="118"/>
      <x:c r="M86" s="118"/>
      <x:c r="N86" s="122"/>
    </x:row>
    <x:row r="87">
      <x:c r="A87" s="115"/>
      <x:c r="B87" s="116"/>
      <x:c r="C87" s="117"/>
      <x:c r="D87" s="118"/>
      <x:c r="E87" s="118"/>
      <x:c r="F87" s="118"/>
      <x:c r="G87" s="118"/>
      <x:c r="H87" s="119"/>
      <x:c r="I87" s="118"/>
      <x:c r="J87" s="120"/>
      <x:c r="K87" s="121" t="str">
        <x:f>IF(OR(H87="",J87=""),"",H87*J87)</x:f>
      </x:c>
      <x:c r="L87" s="118"/>
      <x:c r="M87" s="118"/>
      <x:c r="N87" s="122"/>
    </x:row>
    <x:row r="88">
      <x:c r="A88" s="115"/>
      <x:c r="B88" s="116"/>
      <x:c r="C88" s="117"/>
      <x:c r="D88" s="118"/>
      <x:c r="E88" s="118"/>
      <x:c r="F88" s="118"/>
      <x:c r="G88" s="118"/>
      <x:c r="H88" s="119"/>
      <x:c r="I88" s="118"/>
      <x:c r="J88" s="120"/>
      <x:c r="K88" s="121" t="str">
        <x:f>IF(OR(H88="",J88=""),"",H88*J88)</x:f>
      </x:c>
      <x:c r="L88" s="118"/>
      <x:c r="M88" s="118"/>
      <x:c r="N88" s="122"/>
    </x:row>
    <x:row r="89">
      <x:c r="A89" s="115"/>
      <x:c r="B89" s="116"/>
      <x:c r="C89" s="117"/>
      <x:c r="D89" s="118"/>
      <x:c r="E89" s="118"/>
      <x:c r="F89" s="118"/>
      <x:c r="G89" s="118"/>
      <x:c r="H89" s="119"/>
      <x:c r="I89" s="118"/>
      <x:c r="J89" s="120"/>
      <x:c r="K89" s="121" t="str">
        <x:f>IF(OR(H89="",J89=""),"",H89*J89)</x:f>
      </x:c>
      <x:c r="L89" s="118"/>
      <x:c r="M89" s="118"/>
      <x:c r="N89" s="122"/>
    </x:row>
    <x:row r="90">
      <x:c r="A90" s="115"/>
      <x:c r="B90" s="116"/>
      <x:c r="C90" s="117"/>
      <x:c r="D90" s="118"/>
      <x:c r="E90" s="118"/>
      <x:c r="F90" s="118"/>
      <x:c r="G90" s="118"/>
      <x:c r="H90" s="119"/>
      <x:c r="I90" s="118"/>
      <x:c r="J90" s="120"/>
      <x:c r="K90" s="121" t="str">
        <x:f>IF(OR(H90="",J90=""),"",H90*J90)</x:f>
      </x:c>
      <x:c r="L90" s="118"/>
      <x:c r="M90" s="118"/>
      <x:c r="N90" s="122"/>
    </x:row>
    <x:row r="91">
      <x:c r="A91" s="115"/>
      <x:c r="B91" s="116"/>
      <x:c r="C91" s="117"/>
      <x:c r="D91" s="118"/>
      <x:c r="E91" s="118"/>
      <x:c r="F91" s="118"/>
      <x:c r="G91" s="118"/>
      <x:c r="H91" s="119"/>
      <x:c r="I91" s="118"/>
      <x:c r="J91" s="120"/>
      <x:c r="K91" s="121" t="str">
        <x:f>IF(OR(H91="",J91=""),"",H91*J91)</x:f>
      </x:c>
      <x:c r="L91" s="118"/>
      <x:c r="M91" s="118"/>
      <x:c r="N91" s="122"/>
    </x:row>
    <x:row r="92">
      <x:c r="A92" s="115"/>
      <x:c r="B92" s="116"/>
      <x:c r="C92" s="117"/>
      <x:c r="D92" s="118"/>
      <x:c r="E92" s="118"/>
      <x:c r="F92" s="118"/>
      <x:c r="G92" s="118"/>
      <x:c r="H92" s="119"/>
      <x:c r="I92" s="118"/>
      <x:c r="J92" s="120"/>
      <x:c r="K92" s="121" t="str">
        <x:f>IF(OR(H92="",J92=""),"",H92*J92)</x:f>
      </x:c>
      <x:c r="L92" s="118"/>
      <x:c r="M92" s="118"/>
      <x:c r="N92" s="122"/>
    </x:row>
    <x:row r="93">
      <x:c r="A93" s="115"/>
      <x:c r="B93" s="116"/>
      <x:c r="C93" s="117"/>
      <x:c r="D93" s="118"/>
      <x:c r="E93" s="118"/>
      <x:c r="F93" s="118"/>
      <x:c r="G93" s="118"/>
      <x:c r="H93" s="119"/>
      <x:c r="I93" s="118"/>
      <x:c r="J93" s="120"/>
      <x:c r="K93" s="121" t="str">
        <x:f>IF(OR(H93="",J93=""),"",H93*J93)</x:f>
      </x:c>
      <x:c r="L93" s="118"/>
      <x:c r="M93" s="118"/>
      <x:c r="N93" s="122"/>
    </x:row>
    <x:row r="94">
      <x:c r="A94" s="115"/>
      <x:c r="B94" s="116"/>
      <x:c r="C94" s="117"/>
      <x:c r="D94" s="118"/>
      <x:c r="E94" s="118"/>
      <x:c r="F94" s="118"/>
      <x:c r="G94" s="118"/>
      <x:c r="H94" s="119"/>
      <x:c r="I94" s="118"/>
      <x:c r="J94" s="120"/>
      <x:c r="K94" s="121" t="str">
        <x:f>IF(OR(H94="",J94=""),"",H94*J94)</x:f>
      </x:c>
      <x:c r="L94" s="118"/>
      <x:c r="M94" s="118"/>
      <x:c r="N94" s="122"/>
    </x:row>
    <x:row r="95">
      <x:c r="A95" s="115"/>
      <x:c r="B95" s="116"/>
      <x:c r="C95" s="117"/>
      <x:c r="D95" s="118"/>
      <x:c r="E95" s="118"/>
      <x:c r="F95" s="118"/>
      <x:c r="G95" s="118"/>
      <x:c r="H95" s="119"/>
      <x:c r="I95" s="118"/>
      <x:c r="J95" s="120"/>
      <x:c r="K95" s="121" t="str">
        <x:f>IF(OR(H95="",J95=""),"",H95*J95)</x:f>
      </x:c>
      <x:c r="L95" s="118"/>
      <x:c r="M95" s="118"/>
      <x:c r="N95" s="122"/>
    </x:row>
    <x:row r="96">
      <x:c r="A96" s="115"/>
      <x:c r="B96" s="116"/>
      <x:c r="C96" s="117"/>
      <x:c r="D96" s="118"/>
      <x:c r="E96" s="118"/>
      <x:c r="F96" s="118"/>
      <x:c r="G96" s="118"/>
      <x:c r="H96" s="119"/>
      <x:c r="I96" s="118"/>
      <x:c r="J96" s="120"/>
      <x:c r="K96" s="121" t="str">
        <x:f>IF(OR(H96="",J96=""),"",H96*J96)</x:f>
      </x:c>
      <x:c r="L96" s="118"/>
      <x:c r="M96" s="118"/>
      <x:c r="N96" s="122"/>
    </x:row>
    <x:row r="97">
      <x:c r="A97" s="115"/>
      <x:c r="B97" s="116"/>
      <x:c r="C97" s="117"/>
      <x:c r="D97" s="118"/>
      <x:c r="E97" s="118"/>
      <x:c r="F97" s="118"/>
      <x:c r="G97" s="118"/>
      <x:c r="H97" s="119"/>
      <x:c r="I97" s="118"/>
      <x:c r="J97" s="120"/>
      <x:c r="K97" s="121" t="str">
        <x:f>IF(OR(H97="",J97=""),"",H97*J97)</x:f>
      </x:c>
      <x:c r="L97" s="118"/>
      <x:c r="M97" s="118"/>
      <x:c r="N97" s="122"/>
    </x:row>
    <x:row r="98">
      <x:c r="A98" s="115"/>
      <x:c r="B98" s="116"/>
      <x:c r="C98" s="117"/>
      <x:c r="D98" s="118"/>
      <x:c r="E98" s="118"/>
      <x:c r="F98" s="118"/>
      <x:c r="G98" s="118"/>
      <x:c r="H98" s="119"/>
      <x:c r="I98" s="118"/>
      <x:c r="J98" s="120"/>
      <x:c r="K98" s="121" t="str">
        <x:f>IF(OR(H98="",J98=""),"",H98*J98)</x:f>
      </x:c>
      <x:c r="L98" s="118"/>
      <x:c r="M98" s="118"/>
      <x:c r="N98" s="122"/>
    </x:row>
    <x:row r="99">
      <x:c r="A99" s="115"/>
      <x:c r="B99" s="116"/>
      <x:c r="C99" s="117"/>
      <x:c r="D99" s="118"/>
      <x:c r="E99" s="118"/>
      <x:c r="F99" s="118"/>
      <x:c r="G99" s="118"/>
      <x:c r="H99" s="119"/>
      <x:c r="I99" s="118"/>
      <x:c r="J99" s="120"/>
      <x:c r="K99" s="121" t="str">
        <x:f>IF(OR(H99="",J99=""),"",H99*J99)</x:f>
      </x:c>
      <x:c r="L99" s="118"/>
      <x:c r="M99" s="118"/>
      <x:c r="N99" s="122"/>
    </x:row>
    <x:row r="100">
      <x:c r="A100" s="115"/>
      <x:c r="B100" s="116"/>
      <x:c r="C100" s="117"/>
      <x:c r="D100" s="118"/>
      <x:c r="E100" s="118"/>
      <x:c r="F100" s="118"/>
      <x:c r="G100" s="118"/>
      <x:c r="H100" s="119"/>
      <x:c r="I100" s="118"/>
      <x:c r="J100" s="120"/>
      <x:c r="K100" s="121" t="str">
        <x:f>IF(OR(H100="",J100=""),"",H100*J100)</x:f>
      </x:c>
      <x:c r="L100" s="118"/>
      <x:c r="M100" s="118"/>
      <x:c r="N100" s="122"/>
    </x:row>
    <x:row r="101">
      <x:c r="A101" s="115"/>
      <x:c r="B101" s="116"/>
      <x:c r="C101" s="117"/>
      <x:c r="D101" s="118"/>
      <x:c r="E101" s="118"/>
      <x:c r="F101" s="118"/>
      <x:c r="G101" s="118"/>
      <x:c r="H101" s="119"/>
      <x:c r="I101" s="118"/>
      <x:c r="J101" s="120"/>
      <x:c r="K101" s="121" t="str">
        <x:f>IF(OR(H101="",J101=""),"",H101*J101)</x:f>
      </x:c>
      <x:c r="L101" s="118"/>
      <x:c r="M101" s="118"/>
      <x:c r="N101" s="122"/>
    </x:row>
    <x:row r="102">
      <x:c r="A102" s="115"/>
      <x:c r="B102" s="116"/>
      <x:c r="C102" s="117"/>
      <x:c r="D102" s="118"/>
      <x:c r="E102" s="118"/>
      <x:c r="F102" s="118"/>
      <x:c r="G102" s="118"/>
      <x:c r="H102" s="119"/>
      <x:c r="I102" s="118"/>
      <x:c r="J102" s="120"/>
      <x:c r="K102" s="121" t="str">
        <x:f>IF(OR(H102="",J102=""),"",H102*J102)</x:f>
      </x:c>
      <x:c r="L102" s="118"/>
      <x:c r="M102" s="118"/>
      <x:c r="N102" s="122"/>
    </x:row>
    <x:row r="103">
      <x:c r="A103" s="115"/>
      <x:c r="B103" s="116"/>
      <x:c r="C103" s="117"/>
      <x:c r="D103" s="118"/>
      <x:c r="E103" s="118"/>
      <x:c r="F103" s="118"/>
      <x:c r="G103" s="118"/>
      <x:c r="H103" s="119"/>
      <x:c r="I103" s="118"/>
      <x:c r="J103" s="120"/>
      <x:c r="K103" s="121" t="str">
        <x:f>IF(OR(H103="",J103=""),"",H103*J103)</x:f>
      </x:c>
      <x:c r="L103" s="118"/>
      <x:c r="M103" s="118"/>
      <x:c r="N103" s="122"/>
    </x:row>
    <x:row r="104">
      <x:c r="A104" s="115"/>
      <x:c r="B104" s="116"/>
      <x:c r="C104" s="117"/>
      <x:c r="D104" s="118"/>
      <x:c r="E104" s="118"/>
      <x:c r="F104" s="118"/>
      <x:c r="G104" s="118"/>
      <x:c r="H104" s="119"/>
      <x:c r="I104" s="118"/>
      <x:c r="J104" s="120"/>
      <x:c r="K104" s="121" t="str">
        <x:f>IF(OR(H104="",J104=""),"",H104*J104)</x:f>
      </x:c>
      <x:c r="L104" s="118"/>
      <x:c r="M104" s="118"/>
      <x:c r="N104" s="122"/>
    </x:row>
    <x:row r="105">
      <x:c r="A105" s="115"/>
      <x:c r="B105" s="116"/>
      <x:c r="C105" s="117"/>
      <x:c r="D105" s="118"/>
      <x:c r="E105" s="118"/>
      <x:c r="F105" s="118"/>
      <x:c r="G105" s="118"/>
      <x:c r="H105" s="119"/>
      <x:c r="I105" s="118"/>
      <x:c r="J105" s="120"/>
      <x:c r="K105" s="121" t="str">
        <x:f>IF(OR(H105="",J105=""),"",H105*J105)</x:f>
      </x:c>
      <x:c r="L105" s="118"/>
      <x:c r="M105" s="118"/>
      <x:c r="N105" s="122"/>
    </x:row>
    <x:row r="106">
      <x:c r="A106" s="115"/>
      <x:c r="B106" s="116"/>
      <x:c r="C106" s="117"/>
      <x:c r="D106" s="118"/>
      <x:c r="E106" s="118"/>
      <x:c r="F106" s="118"/>
      <x:c r="G106" s="118"/>
      <x:c r="H106" s="119"/>
      <x:c r="I106" s="118"/>
      <x:c r="J106" s="120"/>
      <x:c r="K106" s="121" t="str">
        <x:f>IF(OR(H106="",J106=""),"",H106*J106)</x:f>
      </x:c>
      <x:c r="L106" s="118"/>
      <x:c r="M106" s="118"/>
      <x:c r="N106" s="122"/>
    </x:row>
    <x:row r="107">
      <x:c r="A107" s="115"/>
      <x:c r="B107" s="116"/>
      <x:c r="C107" s="117"/>
      <x:c r="D107" s="118"/>
      <x:c r="E107" s="118"/>
      <x:c r="F107" s="118"/>
      <x:c r="G107" s="118"/>
      <x:c r="H107" s="119"/>
      <x:c r="I107" s="118"/>
      <x:c r="J107" s="120"/>
      <x:c r="K107" s="121" t="str">
        <x:f>IF(OR(H107="",J107=""),"",H107*J107)</x:f>
      </x:c>
      <x:c r="L107" s="118"/>
      <x:c r="M107" s="118"/>
      <x:c r="N107" s="122"/>
    </x:row>
    <x:row r="108">
      <x:c r="A108" s="115"/>
      <x:c r="B108" s="116"/>
      <x:c r="C108" s="117"/>
      <x:c r="D108" s="118"/>
      <x:c r="E108" s="118"/>
      <x:c r="F108" s="118"/>
      <x:c r="G108" s="118"/>
      <x:c r="H108" s="119"/>
      <x:c r="I108" s="118"/>
      <x:c r="J108" s="120"/>
      <x:c r="K108" s="121" t="str">
        <x:f>IF(OR(H108="",J108=""),"",H108*J108)</x:f>
      </x:c>
      <x:c r="L108" s="118"/>
      <x:c r="M108" s="118"/>
      <x:c r="N108" s="122"/>
    </x:row>
    <x:row r="109">
      <x:c r="A109" s="115"/>
      <x:c r="B109" s="116"/>
      <x:c r="C109" s="117"/>
      <x:c r="D109" s="118"/>
      <x:c r="E109" s="118"/>
      <x:c r="F109" s="118"/>
      <x:c r="G109" s="118"/>
      <x:c r="H109" s="119"/>
      <x:c r="I109" s="118"/>
      <x:c r="J109" s="120"/>
      <x:c r="K109" s="121" t="str">
        <x:f>IF(OR(H109="",J109=""),"",H109*J109)</x:f>
      </x:c>
      <x:c r="L109" s="118"/>
      <x:c r="M109" s="118"/>
      <x:c r="N109" s="122"/>
    </x:row>
    <x:row r="110">
      <x:c r="A110" s="115"/>
      <x:c r="B110" s="116"/>
      <x:c r="C110" s="117"/>
      <x:c r="D110" s="118"/>
      <x:c r="E110" s="118"/>
      <x:c r="F110" s="118"/>
      <x:c r="G110" s="118"/>
      <x:c r="H110" s="119"/>
      <x:c r="I110" s="118"/>
      <x:c r="J110" s="120"/>
      <x:c r="K110" s="121" t="str">
        <x:f>IF(OR(H110="",J110=""),"",H110*J110)</x:f>
      </x:c>
      <x:c r="L110" s="118"/>
      <x:c r="M110" s="118"/>
      <x:c r="N110" s="122"/>
    </x:row>
    <x:row r="111">
      <x:c r="A111" s="115"/>
      <x:c r="B111" s="116"/>
      <x:c r="C111" s="117"/>
      <x:c r="D111" s="118"/>
      <x:c r="E111" s="118"/>
      <x:c r="F111" s="118"/>
      <x:c r="G111" s="118"/>
      <x:c r="H111" s="119"/>
      <x:c r="I111" s="118"/>
      <x:c r="J111" s="120"/>
      <x:c r="K111" s="121" t="str">
        <x:f>IF(OR(H111="",J111=""),"",H111*J111)</x:f>
      </x:c>
      <x:c r="L111" s="118"/>
      <x:c r="M111" s="118"/>
      <x:c r="N111" s="122"/>
    </x:row>
    <x:row r="112">
      <x:c r="A112" s="115"/>
      <x:c r="B112" s="116"/>
      <x:c r="C112" s="117"/>
      <x:c r="D112" s="118"/>
      <x:c r="E112" s="118"/>
      <x:c r="F112" s="118"/>
      <x:c r="G112" s="118"/>
      <x:c r="H112" s="119"/>
      <x:c r="I112" s="118"/>
      <x:c r="J112" s="120"/>
      <x:c r="K112" s="121" t="str">
        <x:f>IF(OR(H112="",J112=""),"",H112*J112)</x:f>
      </x:c>
      <x:c r="L112" s="118"/>
      <x:c r="M112" s="118"/>
      <x:c r="N112" s="122"/>
    </x:row>
    <x:row r="113">
      <x:c r="A113" s="115"/>
      <x:c r="B113" s="116"/>
      <x:c r="C113" s="117"/>
      <x:c r="D113" s="118"/>
      <x:c r="E113" s="118"/>
      <x:c r="F113" s="118"/>
      <x:c r="G113" s="118"/>
      <x:c r="H113" s="119"/>
      <x:c r="I113" s="118"/>
      <x:c r="J113" s="120"/>
      <x:c r="K113" s="121" t="str">
        <x:f>IF(OR(H113="",J113=""),"",H113*J113)</x:f>
      </x:c>
      <x:c r="L113" s="118"/>
      <x:c r="M113" s="118"/>
      <x:c r="N113" s="122"/>
    </x:row>
    <x:row r="114">
      <x:c r="A114" s="115"/>
      <x:c r="B114" s="116"/>
      <x:c r="C114" s="117"/>
      <x:c r="D114" s="118"/>
      <x:c r="E114" s="118"/>
      <x:c r="F114" s="118"/>
      <x:c r="G114" s="118"/>
      <x:c r="H114" s="119"/>
      <x:c r="I114" s="118"/>
      <x:c r="J114" s="120"/>
      <x:c r="K114" s="121" t="str">
        <x:f>IF(OR(H114="",J114=""),"",H114*J114)</x:f>
      </x:c>
      <x:c r="L114" s="118"/>
      <x:c r="M114" s="118"/>
      <x:c r="N114" s="122"/>
    </x:row>
    <x:row r="115">
      <x:c r="A115" s="115"/>
      <x:c r="B115" s="116"/>
      <x:c r="C115" s="117"/>
      <x:c r="D115" s="118"/>
      <x:c r="E115" s="118"/>
      <x:c r="F115" s="118"/>
      <x:c r="G115" s="118"/>
      <x:c r="H115" s="119"/>
      <x:c r="I115" s="118"/>
      <x:c r="J115" s="120"/>
      <x:c r="K115" s="121" t="str">
        <x:f>IF(OR(H115="",J115=""),"",H115*J115)</x:f>
      </x:c>
      <x:c r="L115" s="118"/>
      <x:c r="M115" s="118"/>
      <x:c r="N115" s="122"/>
    </x:row>
    <x:row r="116">
      <x:c r="A116" s="115"/>
      <x:c r="B116" s="116"/>
      <x:c r="C116" s="117"/>
      <x:c r="D116" s="118"/>
      <x:c r="E116" s="118"/>
      <x:c r="F116" s="118"/>
      <x:c r="G116" s="118"/>
      <x:c r="H116" s="119"/>
      <x:c r="I116" s="118"/>
      <x:c r="J116" s="120"/>
      <x:c r="K116" s="121" t="str">
        <x:f>IF(OR(H116="",J116=""),"",H116*J116)</x:f>
      </x:c>
      <x:c r="L116" s="118"/>
      <x:c r="M116" s="118"/>
      <x:c r="N116" s="122"/>
    </x:row>
    <x:row r="117">
      <x:c r="A117" s="115"/>
      <x:c r="B117" s="116"/>
      <x:c r="C117" s="117"/>
      <x:c r="D117" s="118"/>
      <x:c r="E117" s="118"/>
      <x:c r="F117" s="118"/>
      <x:c r="G117" s="118"/>
      <x:c r="H117" s="119"/>
      <x:c r="I117" s="118"/>
      <x:c r="J117" s="120"/>
      <x:c r="K117" s="121" t="str">
        <x:f>IF(OR(H117="",J117=""),"",H117*J117)</x:f>
      </x:c>
      <x:c r="L117" s="118"/>
      <x:c r="M117" s="118"/>
      <x:c r="N117" s="122"/>
    </x:row>
    <x:row r="118">
      <x:c r="A118" s="115"/>
      <x:c r="B118" s="116"/>
      <x:c r="C118" s="117"/>
      <x:c r="D118" s="118"/>
      <x:c r="E118" s="118"/>
      <x:c r="F118" s="118"/>
      <x:c r="G118" s="118"/>
      <x:c r="H118" s="119"/>
      <x:c r="I118" s="118"/>
      <x:c r="J118" s="120"/>
      <x:c r="K118" s="121" t="str">
        <x:f>IF(OR(H118="",J118=""),"",H118*J118)</x:f>
      </x:c>
      <x:c r="L118" s="118"/>
      <x:c r="M118" s="118"/>
      <x:c r="N118" s="122"/>
    </x:row>
    <x:row r="119">
      <x:c r="A119" s="115"/>
      <x:c r="B119" s="116"/>
      <x:c r="C119" s="117"/>
      <x:c r="D119" s="118"/>
      <x:c r="E119" s="118"/>
      <x:c r="F119" s="118"/>
      <x:c r="G119" s="118"/>
      <x:c r="H119" s="119"/>
      <x:c r="I119" s="118"/>
      <x:c r="J119" s="120"/>
      <x:c r="K119" s="121" t="str">
        <x:f>IF(OR(H119="",J119=""),"",H119*J119)</x:f>
      </x:c>
      <x:c r="L119" s="118"/>
      <x:c r="M119" s="118"/>
      <x:c r="N119" s="122"/>
    </x:row>
    <x:row r="120">
      <x:c r="A120" s="115"/>
      <x:c r="B120" s="116"/>
      <x:c r="C120" s="117"/>
      <x:c r="D120" s="118"/>
      <x:c r="E120" s="118"/>
      <x:c r="F120" s="118"/>
      <x:c r="G120" s="118"/>
      <x:c r="H120" s="119"/>
      <x:c r="I120" s="118"/>
      <x:c r="J120" s="120"/>
      <x:c r="K120" s="121" t="str">
        <x:f>IF(OR(H120="",J120=""),"",H120*J120)</x:f>
      </x:c>
      <x:c r="L120" s="118"/>
      <x:c r="M120" s="118"/>
      <x:c r="N120" s="122"/>
    </x:row>
    <x:row r="121">
      <x:c r="A121" s="115"/>
      <x:c r="B121" s="116"/>
      <x:c r="C121" s="117"/>
      <x:c r="D121" s="118"/>
      <x:c r="E121" s="118"/>
      <x:c r="F121" s="118"/>
      <x:c r="G121" s="118"/>
      <x:c r="H121" s="119"/>
      <x:c r="I121" s="118"/>
      <x:c r="J121" s="120"/>
      <x:c r="K121" s="121" t="str">
        <x:f>IF(OR(H121="",J121=""),"",H121*J121)</x:f>
      </x:c>
      <x:c r="L121" s="118"/>
      <x:c r="M121" s="118"/>
      <x:c r="N121" s="122"/>
    </x:row>
    <x:row r="122">
      <x:c r="A122" s="115"/>
      <x:c r="B122" s="116"/>
      <x:c r="C122" s="117"/>
      <x:c r="D122" s="118"/>
      <x:c r="E122" s="118"/>
      <x:c r="F122" s="118"/>
      <x:c r="G122" s="118"/>
      <x:c r="H122" s="119"/>
      <x:c r="I122" s="118"/>
      <x:c r="J122" s="120"/>
      <x:c r="K122" s="121" t="str">
        <x:f>IF(OR(H122="",J122=""),"",H122*J122)</x:f>
      </x:c>
      <x:c r="L122" s="118"/>
      <x:c r="M122" s="118"/>
      <x:c r="N122" s="122"/>
    </x:row>
    <x:row r="123">
      <x:c r="A123" s="115"/>
      <x:c r="B123" s="116"/>
      <x:c r="C123" s="117"/>
      <x:c r="D123" s="118"/>
      <x:c r="E123" s="118"/>
      <x:c r="F123" s="118"/>
      <x:c r="G123" s="118"/>
      <x:c r="H123" s="119"/>
      <x:c r="I123" s="118"/>
      <x:c r="J123" s="120"/>
      <x:c r="K123" s="121" t="str">
        <x:f>IF(OR(H123="",J123=""),"",H123*J123)</x:f>
      </x:c>
      <x:c r="L123" s="118"/>
      <x:c r="M123" s="118"/>
      <x:c r="N123" s="122"/>
    </x:row>
    <x:row r="124">
      <x:c r="A124" s="115"/>
      <x:c r="B124" s="116"/>
      <x:c r="C124" s="117"/>
      <x:c r="D124" s="118"/>
      <x:c r="E124" s="118"/>
      <x:c r="F124" s="118"/>
      <x:c r="G124" s="118"/>
      <x:c r="H124" s="119"/>
      <x:c r="I124" s="118"/>
      <x:c r="J124" s="120"/>
      <x:c r="K124" s="121" t="str">
        <x:f>IF(OR(H124="",J124=""),"",H124*J124)</x:f>
      </x:c>
      <x:c r="L124" s="118"/>
      <x:c r="M124" s="118"/>
      <x:c r="N124" s="122"/>
    </x:row>
    <x:row r="125">
      <x:c r="A125" s="115"/>
      <x:c r="B125" s="116"/>
      <x:c r="C125" s="117"/>
      <x:c r="D125" s="118"/>
      <x:c r="E125" s="118"/>
      <x:c r="F125" s="118"/>
      <x:c r="G125" s="118"/>
      <x:c r="H125" s="119"/>
      <x:c r="I125" s="118"/>
      <x:c r="J125" s="120"/>
      <x:c r="K125" s="121" t="str">
        <x:f>IF(OR(H125="",J125=""),"",H125*J125)</x:f>
      </x:c>
      <x:c r="L125" s="118"/>
      <x:c r="M125" s="118"/>
      <x:c r="N125" s="122"/>
    </x:row>
    <x:row r="126">
      <x:c r="A126" s="115"/>
      <x:c r="B126" s="116"/>
      <x:c r="C126" s="117"/>
      <x:c r="D126" s="118"/>
      <x:c r="E126" s="118"/>
      <x:c r="F126" s="118"/>
      <x:c r="G126" s="118"/>
      <x:c r="H126" s="119"/>
      <x:c r="I126" s="118"/>
      <x:c r="J126" s="120"/>
      <x:c r="K126" s="121" t="str">
        <x:f>IF(OR(H126="",J126=""),"",H126*J126)</x:f>
      </x:c>
      <x:c r="L126" s="118"/>
      <x:c r="M126" s="118"/>
      <x:c r="N126" s="122"/>
    </x:row>
    <x:row r="127">
      <x:c r="A127" s="115"/>
      <x:c r="B127" s="116"/>
      <x:c r="C127" s="117"/>
      <x:c r="D127" s="118"/>
      <x:c r="E127" s="118"/>
      <x:c r="F127" s="118"/>
      <x:c r="G127" s="118"/>
      <x:c r="H127" s="119"/>
      <x:c r="I127" s="118"/>
      <x:c r="J127" s="120"/>
      <x:c r="K127" s="121" t="str">
        <x:f>IF(OR(H127="",J127=""),"",H127*J127)</x:f>
      </x:c>
      <x:c r="L127" s="118"/>
      <x:c r="M127" s="118"/>
      <x:c r="N127" s="122"/>
    </x:row>
    <x:row r="128">
      <x:c r="A128" s="115"/>
      <x:c r="B128" s="116"/>
      <x:c r="C128" s="117"/>
      <x:c r="D128" s="118"/>
      <x:c r="E128" s="118"/>
      <x:c r="F128" s="118"/>
      <x:c r="G128" s="118"/>
      <x:c r="H128" s="119"/>
      <x:c r="I128" s="118"/>
      <x:c r="J128" s="120"/>
      <x:c r="K128" s="121" t="str">
        <x:f>IF(OR(H128="",J128=""),"",H128*J128)</x:f>
      </x:c>
      <x:c r="L128" s="118"/>
      <x:c r="M128" s="118"/>
      <x:c r="N128" s="122"/>
    </x:row>
    <x:row r="129">
      <x:c r="A129" s="115"/>
      <x:c r="B129" s="116"/>
      <x:c r="C129" s="117"/>
      <x:c r="D129" s="118"/>
      <x:c r="E129" s="118"/>
      <x:c r="F129" s="118"/>
      <x:c r="G129" s="118"/>
      <x:c r="H129" s="119"/>
      <x:c r="I129" s="118"/>
      <x:c r="J129" s="120"/>
      <x:c r="K129" s="121" t="str">
        <x:f>IF(OR(H129="",J129=""),"",H129*J129)</x:f>
      </x:c>
      <x:c r="L129" s="118"/>
      <x:c r="M129" s="118"/>
      <x:c r="N129" s="122"/>
    </x:row>
    <x:row r="130">
      <x:c r="A130" s="115"/>
      <x:c r="B130" s="116"/>
      <x:c r="C130" s="117"/>
      <x:c r="D130" s="118"/>
      <x:c r="E130" s="118"/>
      <x:c r="F130" s="118"/>
      <x:c r="G130" s="118"/>
      <x:c r="H130" s="119"/>
      <x:c r="I130" s="118"/>
      <x:c r="J130" s="120"/>
      <x:c r="K130" s="121" t="str">
        <x:f>IF(OR(H130="",J130=""),"",H130*J130)</x:f>
      </x:c>
      <x:c r="L130" s="118"/>
      <x:c r="M130" s="118"/>
      <x:c r="N130" s="122"/>
    </x:row>
    <x:row r="131">
      <x:c r="A131" s="115"/>
      <x:c r="B131" s="116"/>
      <x:c r="C131" s="117"/>
      <x:c r="D131" s="118"/>
      <x:c r="E131" s="118"/>
      <x:c r="F131" s="118"/>
      <x:c r="G131" s="118"/>
      <x:c r="H131" s="119"/>
      <x:c r="I131" s="118"/>
      <x:c r="J131" s="120"/>
      <x:c r="K131" s="121" t="str">
        <x:f>IF(OR(H131="",J131=""),"",H131*J131)</x:f>
      </x:c>
      <x:c r="L131" s="118"/>
      <x:c r="M131" s="118"/>
      <x:c r="N131" s="122"/>
    </x:row>
    <x:row r="132">
      <x:c r="A132" s="115"/>
      <x:c r="B132" s="116"/>
      <x:c r="C132" s="117"/>
      <x:c r="D132" s="118"/>
      <x:c r="E132" s="118"/>
      <x:c r="F132" s="118"/>
      <x:c r="G132" s="118"/>
      <x:c r="H132" s="119"/>
      <x:c r="I132" s="118"/>
      <x:c r="J132" s="120"/>
      <x:c r="K132" s="121" t="str">
        <x:f>IF(OR(H132="",J132=""),"",H132*J132)</x:f>
      </x:c>
      <x:c r="L132" s="118"/>
      <x:c r="M132" s="118"/>
      <x:c r="N132" s="122"/>
    </x:row>
    <x:row r="133">
      <x:c r="A133" s="115"/>
      <x:c r="B133" s="116"/>
      <x:c r="C133" s="117"/>
      <x:c r="D133" s="118"/>
      <x:c r="E133" s="118"/>
      <x:c r="F133" s="118"/>
      <x:c r="G133" s="118"/>
      <x:c r="H133" s="119"/>
      <x:c r="I133" s="118"/>
      <x:c r="J133" s="120"/>
      <x:c r="K133" s="121" t="str">
        <x:f>IF(OR(H133="",J133=""),"",H133*J133)</x:f>
      </x:c>
      <x:c r="L133" s="118"/>
      <x:c r="M133" s="118"/>
      <x:c r="N133" s="122"/>
    </x:row>
    <x:row r="134">
      <x:c r="A134" s="115"/>
      <x:c r="B134" s="116"/>
      <x:c r="C134" s="117"/>
      <x:c r="D134" s="118"/>
      <x:c r="E134" s="118"/>
      <x:c r="F134" s="118"/>
      <x:c r="G134" s="118"/>
      <x:c r="H134" s="119"/>
      <x:c r="I134" s="118"/>
      <x:c r="J134" s="120"/>
      <x:c r="K134" s="121" t="str">
        <x:f>IF(OR(H134="",J134=""),"",H134*J134)</x:f>
      </x:c>
      <x:c r="L134" s="118"/>
      <x:c r="M134" s="118"/>
      <x:c r="N134" s="122"/>
    </x:row>
    <x:row r="135">
      <x:c r="A135" s="115"/>
      <x:c r="B135" s="116"/>
      <x:c r="C135" s="117"/>
      <x:c r="D135" s="118"/>
      <x:c r="E135" s="118"/>
      <x:c r="F135" s="118"/>
      <x:c r="G135" s="118"/>
      <x:c r="H135" s="119"/>
      <x:c r="I135" s="118"/>
      <x:c r="J135" s="120"/>
      <x:c r="K135" s="121" t="str">
        <x:f>IF(OR(H135="",J135=""),"",H135*J135)</x:f>
      </x:c>
      <x:c r="L135" s="118"/>
      <x:c r="M135" s="118"/>
      <x:c r="N135" s="122"/>
    </x:row>
    <x:row r="136">
      <x:c r="A136" s="115"/>
      <x:c r="B136" s="116"/>
      <x:c r="C136" s="117"/>
      <x:c r="D136" s="118"/>
      <x:c r="E136" s="118"/>
      <x:c r="F136" s="118"/>
      <x:c r="G136" s="118"/>
      <x:c r="H136" s="119"/>
      <x:c r="I136" s="118"/>
      <x:c r="J136" s="120"/>
      <x:c r="K136" s="121" t="str">
        <x:f>IF(OR(H136="",J136=""),"",H136*J136)</x:f>
      </x:c>
      <x:c r="L136" s="118"/>
      <x:c r="M136" s="118"/>
      <x:c r="N136" s="122"/>
    </x:row>
    <x:row r="137">
      <x:c r="A137" s="115"/>
      <x:c r="B137" s="116"/>
      <x:c r="C137" s="117"/>
      <x:c r="D137" s="118"/>
      <x:c r="E137" s="118"/>
      <x:c r="F137" s="118"/>
      <x:c r="G137" s="118"/>
      <x:c r="H137" s="119"/>
      <x:c r="I137" s="118"/>
      <x:c r="J137" s="120"/>
      <x:c r="K137" s="121" t="str">
        <x:f>IF(OR(H137="",J137=""),"",H137*J137)</x:f>
      </x:c>
      <x:c r="L137" s="118"/>
      <x:c r="M137" s="118"/>
      <x:c r="N137" s="122"/>
    </x:row>
    <x:row r="138">
      <x:c r="A138" s="115"/>
      <x:c r="B138" s="116"/>
      <x:c r="C138" s="117"/>
      <x:c r="D138" s="118"/>
      <x:c r="E138" s="118"/>
      <x:c r="F138" s="118"/>
      <x:c r="G138" s="118"/>
      <x:c r="H138" s="119"/>
      <x:c r="I138" s="118"/>
      <x:c r="J138" s="120"/>
      <x:c r="K138" s="121" t="str">
        <x:f>IF(OR(H138="",J138=""),"",H138*J138)</x:f>
      </x:c>
      <x:c r="L138" s="118"/>
      <x:c r="M138" s="118"/>
      <x:c r="N138" s="122"/>
    </x:row>
    <x:row r="139">
      <x:c r="A139" s="115"/>
      <x:c r="B139" s="116"/>
      <x:c r="C139" s="117"/>
      <x:c r="D139" s="118"/>
      <x:c r="E139" s="118"/>
      <x:c r="F139" s="118"/>
      <x:c r="G139" s="118"/>
      <x:c r="H139" s="119"/>
      <x:c r="I139" s="118"/>
      <x:c r="J139" s="120"/>
      <x:c r="K139" s="121" t="str">
        <x:f>IF(OR(H139="",J139=""),"",H139*J139)</x:f>
      </x:c>
      <x:c r="L139" s="118"/>
      <x:c r="M139" s="118"/>
      <x:c r="N139" s="122"/>
    </x:row>
    <x:row r="140">
      <x:c r="A140" s="115"/>
      <x:c r="B140" s="116"/>
      <x:c r="C140" s="117"/>
      <x:c r="D140" s="118"/>
      <x:c r="E140" s="118"/>
      <x:c r="F140" s="118"/>
      <x:c r="G140" s="118"/>
      <x:c r="H140" s="119"/>
      <x:c r="I140" s="118"/>
      <x:c r="J140" s="120"/>
      <x:c r="K140" s="121" t="str">
        <x:f>IF(OR(H140="",J140=""),"",H140*J140)</x:f>
      </x:c>
      <x:c r="L140" s="118"/>
      <x:c r="M140" s="118"/>
      <x:c r="N140" s="122"/>
    </x:row>
    <x:row r="141">
      <x:c r="A141" s="115"/>
      <x:c r="B141" s="116"/>
      <x:c r="C141" s="117"/>
      <x:c r="D141" s="118"/>
      <x:c r="E141" s="118"/>
      <x:c r="F141" s="118"/>
      <x:c r="G141" s="118"/>
      <x:c r="H141" s="119"/>
      <x:c r="I141" s="118"/>
      <x:c r="J141" s="120"/>
      <x:c r="K141" s="121" t="str">
        <x:f>IF(OR(H141="",J141=""),"",H141*J141)</x:f>
      </x:c>
      <x:c r="L141" s="118"/>
      <x:c r="M141" s="118"/>
      <x:c r="N141" s="122"/>
    </x:row>
    <x:row r="142">
      <x:c r="A142" s="115"/>
      <x:c r="B142" s="116"/>
      <x:c r="C142" s="117"/>
      <x:c r="D142" s="118"/>
      <x:c r="E142" s="118"/>
      <x:c r="F142" s="118"/>
      <x:c r="G142" s="118"/>
      <x:c r="H142" s="119"/>
      <x:c r="I142" s="118"/>
      <x:c r="J142" s="120"/>
      <x:c r="K142" s="121" t="str">
        <x:f>IF(OR(H142="",J142=""),"",H142*J142)</x:f>
      </x:c>
      <x:c r="L142" s="118"/>
      <x:c r="M142" s="118"/>
      <x:c r="N142" s="122"/>
    </x:row>
    <x:row r="143">
      <x:c r="A143" s="115"/>
      <x:c r="B143" s="116"/>
      <x:c r="C143" s="117"/>
      <x:c r="D143" s="118"/>
      <x:c r="E143" s="118"/>
      <x:c r="F143" s="118"/>
      <x:c r="G143" s="118"/>
      <x:c r="H143" s="119"/>
      <x:c r="I143" s="118"/>
      <x:c r="J143" s="120"/>
      <x:c r="K143" s="121" t="str">
        <x:f>IF(OR(H143="",J143=""),"",H143*J143)</x:f>
      </x:c>
      <x:c r="L143" s="118"/>
      <x:c r="M143" s="118"/>
      <x:c r="N143" s="122"/>
    </x:row>
    <x:row r="144">
      <x:c r="A144" s="115"/>
      <x:c r="B144" s="116"/>
      <x:c r="C144" s="117"/>
      <x:c r="D144" s="118"/>
      <x:c r="E144" s="118"/>
      <x:c r="F144" s="118"/>
      <x:c r="G144" s="118"/>
      <x:c r="H144" s="119"/>
      <x:c r="I144" s="118"/>
      <x:c r="J144" s="120"/>
      <x:c r="K144" s="121" t="str">
        <x:f>IF(OR(H144="",J144=""),"",H144*J144)</x:f>
      </x:c>
      <x:c r="L144" s="118"/>
      <x:c r="M144" s="118"/>
      <x:c r="N144" s="122"/>
    </x:row>
    <x:row r="145">
      <x:c r="A145" s="115"/>
      <x:c r="B145" s="116"/>
      <x:c r="C145" s="117"/>
      <x:c r="D145" s="118"/>
      <x:c r="E145" s="118"/>
      <x:c r="F145" s="118"/>
      <x:c r="G145" s="118"/>
      <x:c r="H145" s="119"/>
      <x:c r="I145" s="118"/>
      <x:c r="J145" s="120"/>
      <x:c r="K145" s="121" t="str">
        <x:f>IF(OR(H145="",J145=""),"",H145*J145)</x:f>
      </x:c>
      <x:c r="L145" s="118"/>
      <x:c r="M145" s="118"/>
      <x:c r="N145" s="122"/>
    </x:row>
    <x:row r="146">
      <x:c r="A146" s="115"/>
      <x:c r="B146" s="116"/>
      <x:c r="C146" s="117"/>
      <x:c r="D146" s="118"/>
      <x:c r="E146" s="118"/>
      <x:c r="F146" s="118"/>
      <x:c r="G146" s="118"/>
      <x:c r="H146" s="119"/>
      <x:c r="I146" s="118"/>
      <x:c r="J146" s="120"/>
      <x:c r="K146" s="121" t="str">
        <x:f>IF(OR(H146="",J146=""),"",H146*J146)</x:f>
      </x:c>
      <x:c r="L146" s="118"/>
      <x:c r="M146" s="118"/>
      <x:c r="N146" s="122"/>
    </x:row>
    <x:row r="147">
      <x:c r="A147" s="115"/>
      <x:c r="B147" s="116"/>
      <x:c r="C147" s="117"/>
      <x:c r="D147" s="118"/>
      <x:c r="E147" s="118"/>
      <x:c r="F147" s="118"/>
      <x:c r="G147" s="118"/>
      <x:c r="H147" s="119"/>
      <x:c r="I147" s="118"/>
      <x:c r="J147" s="120"/>
      <x:c r="K147" s="121" t="str">
        <x:f>IF(OR(H147="",J147=""),"",H147*J147)</x:f>
      </x:c>
      <x:c r="L147" s="118"/>
      <x:c r="M147" s="118"/>
      <x:c r="N147" s="122"/>
    </x:row>
    <x:row r="148">
      <x:c r="A148" s="115"/>
      <x:c r="B148" s="116"/>
      <x:c r="C148" s="117"/>
      <x:c r="D148" s="118"/>
      <x:c r="E148" s="118"/>
      <x:c r="F148" s="118"/>
      <x:c r="G148" s="118"/>
      <x:c r="H148" s="119"/>
      <x:c r="I148" s="118"/>
      <x:c r="J148" s="120"/>
      <x:c r="K148" s="121" t="str">
        <x:f>IF(OR(H148="",J148=""),"",H148*J148)</x:f>
      </x:c>
      <x:c r="L148" s="118"/>
      <x:c r="M148" s="118"/>
      <x:c r="N148" s="122"/>
    </x:row>
    <x:row r="149">
      <x:c r="A149" s="115"/>
      <x:c r="B149" s="116"/>
      <x:c r="C149" s="117"/>
      <x:c r="D149" s="118"/>
      <x:c r="E149" s="118"/>
      <x:c r="F149" s="118"/>
      <x:c r="G149" s="118"/>
      <x:c r="H149" s="119"/>
      <x:c r="I149" s="118"/>
      <x:c r="J149" s="120"/>
      <x:c r="K149" s="121" t="str">
        <x:f>IF(OR(H149="",J149=""),"",H149*J149)</x:f>
      </x:c>
      <x:c r="L149" s="118"/>
      <x:c r="M149" s="118"/>
      <x:c r="N149" s="122"/>
    </x:row>
    <x:row r="150">
      <x:c r="A150" s="115"/>
      <x:c r="B150" s="116"/>
      <x:c r="C150" s="117"/>
      <x:c r="D150" s="118"/>
      <x:c r="E150" s="118"/>
      <x:c r="F150" s="118"/>
      <x:c r="G150" s="118"/>
      <x:c r="H150" s="119"/>
      <x:c r="I150" s="118"/>
      <x:c r="J150" s="120"/>
      <x:c r="K150" s="121" t="str">
        <x:f>IF(OR(H150="",J150=""),"",H150*J150)</x:f>
      </x:c>
      <x:c r="L150" s="118"/>
      <x:c r="M150" s="118"/>
      <x:c r="N150" s="122"/>
    </x:row>
    <x:row r="151">
      <x:c r="A151" s="115"/>
      <x:c r="B151" s="116"/>
      <x:c r="C151" s="117"/>
      <x:c r="D151" s="118"/>
      <x:c r="E151" s="118"/>
      <x:c r="F151" s="118"/>
      <x:c r="G151" s="118"/>
      <x:c r="H151" s="119"/>
      <x:c r="I151" s="118"/>
      <x:c r="J151" s="120"/>
      <x:c r="K151" s="121" t="str">
        <x:f>IF(OR(H151="",J151=""),"",H151*J151)</x:f>
      </x:c>
      <x:c r="L151" s="118"/>
      <x:c r="M151" s="118"/>
      <x:c r="N151" s="122"/>
    </x:row>
    <x:row r="152">
      <x:c r="A152" s="115"/>
      <x:c r="B152" s="116"/>
      <x:c r="C152" s="117"/>
      <x:c r="D152" s="118"/>
      <x:c r="E152" s="118"/>
      <x:c r="F152" s="118"/>
      <x:c r="G152" s="118"/>
      <x:c r="H152" s="119"/>
      <x:c r="I152" s="118"/>
      <x:c r="J152" s="120"/>
      <x:c r="K152" s="121" t="str">
        <x:f>IF(OR(H152="",J152=""),"",H152*J152)</x:f>
      </x:c>
      <x:c r="L152" s="118"/>
      <x:c r="M152" s="118"/>
      <x:c r="N152" s="122"/>
    </x:row>
    <x:row r="153">
      <x:c r="A153" s="115"/>
      <x:c r="B153" s="116"/>
      <x:c r="C153" s="117"/>
      <x:c r="D153" s="118"/>
      <x:c r="E153" s="118"/>
      <x:c r="F153" s="118"/>
      <x:c r="G153" s="118"/>
      <x:c r="H153" s="119"/>
      <x:c r="I153" s="118"/>
      <x:c r="J153" s="120"/>
      <x:c r="K153" s="121" t="str">
        <x:f>IF(OR(H153="",J153=""),"",H153*J153)</x:f>
      </x:c>
      <x:c r="L153" s="118"/>
      <x:c r="M153" s="118"/>
      <x:c r="N153" s="122"/>
    </x:row>
    <x:row r="154">
      <x:c r="A154" s="115"/>
      <x:c r="B154" s="116"/>
      <x:c r="C154" s="117"/>
      <x:c r="D154" s="118"/>
      <x:c r="E154" s="118"/>
      <x:c r="F154" s="118"/>
      <x:c r="G154" s="118"/>
      <x:c r="H154" s="119"/>
      <x:c r="I154" s="118"/>
      <x:c r="J154" s="120"/>
      <x:c r="K154" s="121" t="str">
        <x:f>IF(OR(H154="",J154=""),"",H154*J154)</x:f>
      </x:c>
      <x:c r="L154" s="118"/>
      <x:c r="M154" s="118"/>
      <x:c r="N154" s="122"/>
    </x:row>
    <x:row r="155">
      <x:c r="A155" s="115"/>
      <x:c r="B155" s="116"/>
      <x:c r="C155" s="117"/>
      <x:c r="D155" s="118"/>
      <x:c r="E155" s="118"/>
      <x:c r="F155" s="118"/>
      <x:c r="G155" s="118"/>
      <x:c r="H155" s="119"/>
      <x:c r="I155" s="118"/>
      <x:c r="J155" s="120"/>
      <x:c r="K155" s="121" t="str">
        <x:f>IF(OR(H155="",J155=""),"",H155*J155)</x:f>
      </x:c>
      <x:c r="L155" s="118"/>
      <x:c r="M155" s="118"/>
      <x:c r="N155" s="122"/>
    </x:row>
    <x:row r="156">
      <x:c r="A156" s="115"/>
      <x:c r="B156" s="116"/>
      <x:c r="C156" s="117"/>
      <x:c r="D156" s="118"/>
      <x:c r="E156" s="118"/>
      <x:c r="F156" s="118"/>
      <x:c r="G156" s="118"/>
      <x:c r="H156" s="119"/>
      <x:c r="I156" s="118"/>
      <x:c r="J156" s="120"/>
      <x:c r="K156" s="121" t="str">
        <x:f>IF(OR(H156="",J156=""),"",H156*J156)</x:f>
      </x:c>
      <x:c r="L156" s="118"/>
      <x:c r="M156" s="118"/>
      <x:c r="N156" s="122"/>
    </x:row>
    <x:row r="157">
      <x:c r="A157" s="115"/>
      <x:c r="B157" s="116"/>
      <x:c r="C157" s="117"/>
      <x:c r="D157" s="118"/>
      <x:c r="E157" s="118"/>
      <x:c r="F157" s="118"/>
      <x:c r="G157" s="118"/>
      <x:c r="H157" s="119"/>
      <x:c r="I157" s="118"/>
      <x:c r="J157" s="120"/>
      <x:c r="K157" s="121" t="str">
        <x:f>IF(OR(H157="",J157=""),"",H157*J157)</x:f>
      </x:c>
      <x:c r="L157" s="118"/>
      <x:c r="M157" s="118"/>
      <x:c r="N157" s="122"/>
    </x:row>
    <x:row r="158">
      <x:c r="A158" s="115"/>
      <x:c r="B158" s="116"/>
      <x:c r="C158" s="117"/>
      <x:c r="D158" s="118"/>
      <x:c r="E158" s="118"/>
      <x:c r="F158" s="118"/>
      <x:c r="G158" s="118"/>
      <x:c r="H158" s="119"/>
      <x:c r="I158" s="118"/>
      <x:c r="J158" s="120"/>
      <x:c r="K158" s="121" t="str">
        <x:f>IF(OR(H158="",J158=""),"",H158*J158)</x:f>
      </x:c>
      <x:c r="L158" s="118"/>
      <x:c r="M158" s="118"/>
      <x:c r="N158" s="122"/>
    </x:row>
    <x:row r="159">
      <x:c r="A159" s="115"/>
      <x:c r="B159" s="116"/>
      <x:c r="C159" s="117"/>
      <x:c r="D159" s="118"/>
      <x:c r="E159" s="118"/>
      <x:c r="F159" s="118"/>
      <x:c r="G159" s="118"/>
      <x:c r="H159" s="119"/>
      <x:c r="I159" s="118"/>
      <x:c r="J159" s="120"/>
      <x:c r="K159" s="121" t="str">
        <x:f>IF(OR(H159="",J159=""),"",H159*J159)</x:f>
      </x:c>
      <x:c r="L159" s="118"/>
      <x:c r="M159" s="118"/>
      <x:c r="N159" s="122"/>
    </x:row>
    <x:row r="160">
      <x:c r="A160" s="115"/>
      <x:c r="B160" s="116"/>
      <x:c r="C160" s="117"/>
      <x:c r="D160" s="118"/>
      <x:c r="E160" s="118"/>
      <x:c r="F160" s="118"/>
      <x:c r="G160" s="118"/>
      <x:c r="H160" s="119"/>
      <x:c r="I160" s="118"/>
      <x:c r="J160" s="120"/>
      <x:c r="K160" s="121" t="str">
        <x:f>IF(OR(H160="",J160=""),"",H160*J160)</x:f>
      </x:c>
      <x:c r="L160" s="118"/>
      <x:c r="M160" s="118"/>
      <x:c r="N160" s="122"/>
    </x:row>
    <x:row r="161">
      <x:c r="A161" s="115"/>
      <x:c r="B161" s="116"/>
      <x:c r="C161" s="117"/>
      <x:c r="D161" s="118"/>
      <x:c r="E161" s="118"/>
      <x:c r="F161" s="118"/>
      <x:c r="G161" s="118"/>
      <x:c r="H161" s="119"/>
      <x:c r="I161" s="118"/>
      <x:c r="J161" s="120"/>
      <x:c r="K161" s="121" t="str">
        <x:f>IF(OR(H161="",J161=""),"",H161*J161)</x:f>
      </x:c>
      <x:c r="L161" s="118"/>
      <x:c r="M161" s="118"/>
      <x:c r="N161" s="122"/>
    </x:row>
    <x:row r="162">
      <x:c r="A162" s="115"/>
      <x:c r="B162" s="116"/>
      <x:c r="C162" s="117"/>
      <x:c r="D162" s="118"/>
      <x:c r="E162" s="118"/>
      <x:c r="F162" s="118"/>
      <x:c r="G162" s="118"/>
      <x:c r="H162" s="119"/>
      <x:c r="I162" s="118"/>
      <x:c r="J162" s="120"/>
      <x:c r="K162" s="121" t="str">
        <x:f>IF(OR(H162="",J162=""),"",H162*J162)</x:f>
      </x:c>
      <x:c r="L162" s="118"/>
      <x:c r="M162" s="118"/>
      <x:c r="N162" s="122"/>
    </x:row>
    <x:row r="163">
      <x:c r="A163" s="115"/>
      <x:c r="B163" s="116"/>
      <x:c r="C163" s="117"/>
      <x:c r="D163" s="118"/>
      <x:c r="E163" s="118"/>
      <x:c r="F163" s="118"/>
      <x:c r="G163" s="118"/>
      <x:c r="H163" s="119"/>
      <x:c r="I163" s="118"/>
      <x:c r="J163" s="120"/>
      <x:c r="K163" s="121" t="str">
        <x:f>IF(OR(H163="",J163=""),"",H163*J163)</x:f>
      </x:c>
      <x:c r="L163" s="118"/>
      <x:c r="M163" s="118"/>
      <x:c r="N163" s="122"/>
    </x:row>
    <x:row r="164">
      <x:c r="A164" s="115"/>
      <x:c r="B164" s="116"/>
      <x:c r="C164" s="117"/>
      <x:c r="D164" s="118"/>
      <x:c r="E164" s="118"/>
      <x:c r="F164" s="118"/>
      <x:c r="G164" s="118"/>
      <x:c r="H164" s="119"/>
      <x:c r="I164" s="118"/>
      <x:c r="J164" s="120"/>
      <x:c r="K164" s="121" t="str">
        <x:f>IF(OR(H164="",J164=""),"",H164*J164)</x:f>
      </x:c>
      <x:c r="L164" s="118"/>
      <x:c r="M164" s="118"/>
      <x:c r="N164" s="122"/>
    </x:row>
    <x:row r="165">
      <x:c r="A165" s="115"/>
      <x:c r="B165" s="116"/>
      <x:c r="C165" s="117"/>
      <x:c r="D165" s="118"/>
      <x:c r="E165" s="118"/>
      <x:c r="F165" s="118"/>
      <x:c r="G165" s="118"/>
      <x:c r="H165" s="119"/>
      <x:c r="I165" s="118"/>
      <x:c r="J165" s="120"/>
      <x:c r="K165" s="121" t="str">
        <x:f>IF(OR(H165="",J165=""),"",H165*J165)</x:f>
      </x:c>
      <x:c r="L165" s="118"/>
      <x:c r="M165" s="118"/>
      <x:c r="N165" s="122"/>
    </x:row>
    <x:row r="166">
      <x:c r="A166" s="115"/>
      <x:c r="B166" s="116"/>
      <x:c r="C166" s="117"/>
      <x:c r="D166" s="118"/>
      <x:c r="E166" s="118"/>
      <x:c r="F166" s="118"/>
      <x:c r="G166" s="118"/>
      <x:c r="H166" s="119"/>
      <x:c r="I166" s="118"/>
      <x:c r="J166" s="120"/>
      <x:c r="K166" s="121" t="str">
        <x:f>IF(OR(H166="",J166=""),"",H166*J166)</x:f>
      </x:c>
      <x:c r="L166" s="118"/>
      <x:c r="M166" s="118"/>
      <x:c r="N166" s="122"/>
    </x:row>
    <x:row r="167">
      <x:c r="A167" s="115"/>
      <x:c r="B167" s="116"/>
      <x:c r="C167" s="117"/>
      <x:c r="D167" s="118"/>
      <x:c r="E167" s="118"/>
      <x:c r="F167" s="118"/>
      <x:c r="G167" s="118"/>
      <x:c r="H167" s="119"/>
      <x:c r="I167" s="118"/>
      <x:c r="J167" s="120"/>
      <x:c r="K167" s="121" t="str">
        <x:f>IF(OR(H167="",J167=""),"",H167*J167)</x:f>
      </x:c>
      <x:c r="L167" s="118"/>
      <x:c r="M167" s="118"/>
      <x:c r="N167" s="122"/>
    </x:row>
    <x:row r="168">
      <x:c r="A168" s="115"/>
      <x:c r="B168" s="116"/>
      <x:c r="C168" s="117"/>
      <x:c r="D168" s="118"/>
      <x:c r="E168" s="118"/>
      <x:c r="F168" s="118"/>
      <x:c r="G168" s="118"/>
      <x:c r="H168" s="119"/>
      <x:c r="I168" s="118"/>
      <x:c r="J168" s="120"/>
      <x:c r="K168" s="121" t="str">
        <x:f>IF(OR(H168="",J168=""),"",H168*J168)</x:f>
      </x:c>
      <x:c r="L168" s="118"/>
      <x:c r="M168" s="118"/>
      <x:c r="N168" s="122"/>
    </x:row>
    <x:row r="169">
      <x:c r="A169" s="115"/>
      <x:c r="B169" s="116"/>
      <x:c r="C169" s="117"/>
      <x:c r="D169" s="118"/>
      <x:c r="E169" s="118"/>
      <x:c r="F169" s="118"/>
      <x:c r="G169" s="118"/>
      <x:c r="H169" s="119"/>
      <x:c r="I169" s="118"/>
      <x:c r="J169" s="120"/>
      <x:c r="K169" s="121" t="str">
        <x:f>IF(OR(H169="",J169=""),"",H169*J169)</x:f>
      </x:c>
      <x:c r="L169" s="118"/>
      <x:c r="M169" s="118"/>
      <x:c r="N169" s="122"/>
    </x:row>
    <x:row r="170">
      <x:c r="A170" s="115"/>
      <x:c r="B170" s="116"/>
      <x:c r="C170" s="117"/>
      <x:c r="D170" s="118"/>
      <x:c r="E170" s="118"/>
      <x:c r="F170" s="118"/>
      <x:c r="G170" s="118"/>
      <x:c r="H170" s="119"/>
      <x:c r="I170" s="118"/>
      <x:c r="J170" s="120"/>
      <x:c r="K170" s="121" t="str">
        <x:f>IF(OR(H170="",J170=""),"",H170*J170)</x:f>
      </x:c>
      <x:c r="L170" s="118"/>
      <x:c r="M170" s="118"/>
      <x:c r="N170" s="122"/>
    </x:row>
    <x:row r="171">
      <x:c r="A171" s="115"/>
      <x:c r="B171" s="116"/>
      <x:c r="C171" s="117"/>
      <x:c r="D171" s="118"/>
      <x:c r="E171" s="118"/>
      <x:c r="F171" s="118"/>
      <x:c r="G171" s="118"/>
      <x:c r="H171" s="119"/>
      <x:c r="I171" s="118"/>
      <x:c r="J171" s="120"/>
      <x:c r="K171" s="121" t="str">
        <x:f>IF(OR(H171="",J171=""),"",H171*J171)</x:f>
      </x:c>
      <x:c r="L171" s="118"/>
      <x:c r="M171" s="118"/>
      <x:c r="N171" s="122"/>
    </x:row>
    <x:row r="172">
      <x:c r="A172" s="115"/>
      <x:c r="B172" s="116"/>
      <x:c r="C172" s="117"/>
      <x:c r="D172" s="118"/>
      <x:c r="E172" s="118"/>
      <x:c r="F172" s="118"/>
      <x:c r="G172" s="118"/>
      <x:c r="H172" s="119"/>
      <x:c r="I172" s="118"/>
      <x:c r="J172" s="120"/>
      <x:c r="K172" s="121" t="str">
        <x:f>IF(OR(H172="",J172=""),"",H172*J172)</x:f>
      </x:c>
      <x:c r="L172" s="118"/>
      <x:c r="M172" s="118"/>
      <x:c r="N172" s="122"/>
    </x:row>
    <x:row r="173">
      <x:c r="A173" s="115"/>
      <x:c r="B173" s="116"/>
      <x:c r="C173" s="117"/>
      <x:c r="D173" s="118"/>
      <x:c r="E173" s="118"/>
      <x:c r="F173" s="118"/>
      <x:c r="G173" s="118"/>
      <x:c r="H173" s="119"/>
      <x:c r="I173" s="118"/>
      <x:c r="J173" s="120"/>
      <x:c r="K173" s="121" t="str">
        <x:f>IF(OR(H173="",J173=""),"",H173*J173)</x:f>
      </x:c>
      <x:c r="L173" s="118"/>
      <x:c r="M173" s="118"/>
      <x:c r="N173" s="122"/>
    </x:row>
    <x:row r="174">
      <x:c r="A174" s="115"/>
      <x:c r="B174" s="116"/>
      <x:c r="C174" s="117"/>
      <x:c r="D174" s="118"/>
      <x:c r="E174" s="118"/>
      <x:c r="F174" s="118"/>
      <x:c r="G174" s="118"/>
      <x:c r="H174" s="119"/>
      <x:c r="I174" s="118"/>
      <x:c r="J174" s="120"/>
      <x:c r="K174" s="121" t="str">
        <x:f>IF(OR(H174="",J174=""),"",H174*J174)</x:f>
      </x:c>
      <x:c r="L174" s="118"/>
      <x:c r="M174" s="118"/>
      <x:c r="N174" s="122"/>
    </x:row>
    <x:row r="175">
      <x:c r="A175" s="115"/>
      <x:c r="B175" s="116"/>
      <x:c r="C175" s="117"/>
      <x:c r="D175" s="118"/>
      <x:c r="E175" s="118"/>
      <x:c r="F175" s="118"/>
      <x:c r="G175" s="118"/>
      <x:c r="H175" s="119"/>
      <x:c r="I175" s="118"/>
      <x:c r="J175" s="120"/>
      <x:c r="K175" s="121" t="str">
        <x:f>IF(OR(H175="",J175=""),"",H175*J175)</x:f>
      </x:c>
      <x:c r="L175" s="118"/>
      <x:c r="M175" s="118"/>
      <x:c r="N175" s="122"/>
    </x:row>
    <x:row r="176">
      <x:c r="A176" s="115"/>
      <x:c r="B176" s="116"/>
      <x:c r="C176" s="117"/>
      <x:c r="D176" s="118"/>
      <x:c r="E176" s="118"/>
      <x:c r="F176" s="118"/>
      <x:c r="G176" s="118"/>
      <x:c r="H176" s="119"/>
      <x:c r="I176" s="118"/>
      <x:c r="J176" s="120"/>
      <x:c r="K176" s="121" t="str">
        <x:f>IF(OR(H176="",J176=""),"",H176*J176)</x:f>
      </x:c>
      <x:c r="L176" s="118"/>
      <x:c r="M176" s="118"/>
      <x:c r="N176" s="122"/>
    </x:row>
    <x:row r="177">
      <x:c r="A177" s="115"/>
      <x:c r="B177" s="116"/>
      <x:c r="C177" s="117"/>
      <x:c r="D177" s="118"/>
      <x:c r="E177" s="118"/>
      <x:c r="F177" s="118"/>
      <x:c r="G177" s="118"/>
      <x:c r="H177" s="119"/>
      <x:c r="I177" s="118"/>
      <x:c r="J177" s="120"/>
      <x:c r="K177" s="121" t="str">
        <x:f>IF(OR(H177="",J177=""),"",H177*J177)</x:f>
      </x:c>
      <x:c r="L177" s="118"/>
      <x:c r="M177" s="118"/>
      <x:c r="N177" s="122"/>
    </x:row>
    <x:row r="178">
      <x:c r="A178" s="115"/>
      <x:c r="B178" s="116"/>
      <x:c r="C178" s="117"/>
      <x:c r="D178" s="118"/>
      <x:c r="E178" s="118"/>
      <x:c r="F178" s="118"/>
      <x:c r="G178" s="118"/>
      <x:c r="H178" s="119"/>
      <x:c r="I178" s="118"/>
      <x:c r="J178" s="120"/>
      <x:c r="K178" s="121" t="str">
        <x:f>IF(OR(H178="",J178=""),"",H178*J178)</x:f>
      </x:c>
      <x:c r="L178" s="118"/>
      <x:c r="M178" s="118"/>
      <x:c r="N178" s="122"/>
    </x:row>
    <x:row r="179">
      <x:c r="A179" s="115"/>
      <x:c r="B179" s="116"/>
      <x:c r="C179" s="117"/>
      <x:c r="D179" s="118"/>
      <x:c r="E179" s="118"/>
      <x:c r="F179" s="118"/>
      <x:c r="G179" s="118"/>
      <x:c r="H179" s="119"/>
      <x:c r="I179" s="118"/>
      <x:c r="J179" s="120"/>
      <x:c r="K179" s="121" t="str">
        <x:f>IF(OR(H179="",J179=""),"",H179*J179)</x:f>
      </x:c>
      <x:c r="L179" s="118"/>
      <x:c r="M179" s="118"/>
      <x:c r="N179" s="122"/>
    </x:row>
    <x:row r="180">
      <x:c r="A180" s="115"/>
      <x:c r="B180" s="116"/>
      <x:c r="C180" s="117"/>
      <x:c r="D180" s="118"/>
      <x:c r="E180" s="118"/>
      <x:c r="F180" s="118"/>
      <x:c r="G180" s="118"/>
      <x:c r="H180" s="119"/>
      <x:c r="I180" s="118"/>
      <x:c r="J180" s="120"/>
      <x:c r="K180" s="121" t="str">
        <x:f>IF(OR(H180="",J180=""),"",H180*J180)</x:f>
      </x:c>
      <x:c r="L180" s="118"/>
      <x:c r="M180" s="118"/>
      <x:c r="N180" s="122"/>
    </x:row>
    <x:row r="181">
      <x:c r="A181" s="115"/>
      <x:c r="B181" s="116"/>
      <x:c r="C181" s="117"/>
      <x:c r="D181" s="118"/>
      <x:c r="E181" s="118"/>
      <x:c r="F181" s="118"/>
      <x:c r="G181" s="118"/>
      <x:c r="H181" s="119"/>
      <x:c r="I181" s="118"/>
      <x:c r="J181" s="120"/>
      <x:c r="K181" s="121" t="str">
        <x:f>IF(OR(H181="",J181=""),"",H181*J181)</x:f>
      </x:c>
      <x:c r="L181" s="118"/>
      <x:c r="M181" s="118"/>
      <x:c r="N181" s="122"/>
    </x:row>
    <x:row r="182">
      <x:c r="A182" s="115"/>
      <x:c r="B182" s="116"/>
      <x:c r="C182" s="117"/>
      <x:c r="D182" s="118"/>
      <x:c r="E182" s="118"/>
      <x:c r="F182" s="118"/>
      <x:c r="G182" s="118"/>
      <x:c r="H182" s="119"/>
      <x:c r="I182" s="118"/>
      <x:c r="J182" s="120"/>
      <x:c r="K182" s="121" t="str">
        <x:f>IF(OR(H182="",J182=""),"",H182*J182)</x:f>
      </x:c>
      <x:c r="L182" s="118"/>
      <x:c r="M182" s="118"/>
      <x:c r="N182" s="122"/>
    </x:row>
    <x:row r="183">
      <x:c r="A183" s="115"/>
      <x:c r="B183" s="116"/>
      <x:c r="C183" s="117"/>
      <x:c r="D183" s="118"/>
      <x:c r="E183" s="118"/>
      <x:c r="F183" s="118"/>
      <x:c r="G183" s="118"/>
      <x:c r="H183" s="119"/>
      <x:c r="I183" s="118"/>
      <x:c r="J183" s="120"/>
      <x:c r="K183" s="121" t="str">
        <x:f>IF(OR(H183="",J183=""),"",H183*J183)</x:f>
      </x:c>
      <x:c r="L183" s="118"/>
      <x:c r="M183" s="118"/>
      <x:c r="N183" s="122"/>
    </x:row>
    <x:row r="184">
      <x:c r="A184" s="115"/>
      <x:c r="B184" s="116"/>
      <x:c r="C184" s="117"/>
      <x:c r="D184" s="118"/>
      <x:c r="E184" s="118"/>
      <x:c r="F184" s="118"/>
      <x:c r="G184" s="118"/>
      <x:c r="H184" s="119"/>
      <x:c r="I184" s="118"/>
      <x:c r="J184" s="120"/>
      <x:c r="K184" s="121" t="str">
        <x:f>IF(OR(H184="",J184=""),"",H184*J184)</x:f>
      </x:c>
      <x:c r="L184" s="118"/>
      <x:c r="M184" s="118"/>
      <x:c r="N184" s="122"/>
    </x:row>
    <x:row r="185">
      <x:c r="A185" s="115"/>
      <x:c r="B185" s="116"/>
      <x:c r="C185" s="117"/>
      <x:c r="D185" s="118"/>
      <x:c r="E185" s="118"/>
      <x:c r="F185" s="118"/>
      <x:c r="G185" s="118"/>
      <x:c r="H185" s="119"/>
      <x:c r="I185" s="118"/>
      <x:c r="J185" s="120"/>
      <x:c r="K185" s="121" t="str">
        <x:f>IF(OR(H185="",J185=""),"",H185*J185)</x:f>
      </x:c>
      <x:c r="L185" s="118"/>
      <x:c r="M185" s="118"/>
      <x:c r="N185" s="122"/>
    </x:row>
    <x:row r="186">
      <x:c r="A186" s="115"/>
      <x:c r="B186" s="116"/>
      <x:c r="C186" s="117"/>
      <x:c r="D186" s="118"/>
      <x:c r="E186" s="118"/>
      <x:c r="F186" s="118"/>
      <x:c r="G186" s="118"/>
      <x:c r="H186" s="119"/>
      <x:c r="I186" s="118"/>
      <x:c r="J186" s="120"/>
      <x:c r="K186" s="121" t="str">
        <x:f>IF(OR(H186="",J186=""),"",H186*J186)</x:f>
      </x:c>
      <x:c r="L186" s="118"/>
      <x:c r="M186" s="118"/>
      <x:c r="N186" s="122"/>
    </x:row>
    <x:row r="187">
      <x:c r="A187" s="115"/>
      <x:c r="B187" s="116"/>
      <x:c r="C187" s="117"/>
      <x:c r="D187" s="118"/>
      <x:c r="E187" s="118"/>
      <x:c r="F187" s="118"/>
      <x:c r="G187" s="118"/>
      <x:c r="H187" s="119"/>
      <x:c r="I187" s="118"/>
      <x:c r="J187" s="120"/>
      <x:c r="K187" s="121" t="str">
        <x:f>IF(OR(H187="",J187=""),"",H187*J187)</x:f>
      </x:c>
      <x:c r="L187" s="118"/>
      <x:c r="M187" s="118"/>
      <x:c r="N187" s="122"/>
    </x:row>
    <x:row r="188">
      <x:c r="A188" s="115"/>
      <x:c r="B188" s="116"/>
      <x:c r="C188" s="117"/>
      <x:c r="D188" s="118"/>
      <x:c r="E188" s="118"/>
      <x:c r="F188" s="118"/>
      <x:c r="G188" s="118"/>
      <x:c r="H188" s="119"/>
      <x:c r="I188" s="118"/>
      <x:c r="J188" s="120"/>
      <x:c r="K188" s="121" t="str">
        <x:f>IF(OR(H188="",J188=""),"",H188*J188)</x:f>
      </x:c>
      <x:c r="L188" s="118"/>
      <x:c r="M188" s="118"/>
      <x:c r="N188" s="122"/>
    </x:row>
    <x:row r="189">
      <x:c r="A189" s="115"/>
      <x:c r="B189" s="116"/>
      <x:c r="C189" s="117"/>
      <x:c r="D189" s="118"/>
      <x:c r="E189" s="118"/>
      <x:c r="F189" s="118"/>
      <x:c r="G189" s="118"/>
      <x:c r="H189" s="119"/>
      <x:c r="I189" s="118"/>
      <x:c r="J189" s="120"/>
      <x:c r="K189" s="121" t="str">
        <x:f>IF(OR(H189="",J189=""),"",H189*J189)</x:f>
      </x:c>
      <x:c r="L189" s="118"/>
      <x:c r="M189" s="118"/>
      <x:c r="N189" s="122"/>
    </x:row>
    <x:row r="190">
      <x:c r="A190" s="115"/>
      <x:c r="B190" s="116"/>
      <x:c r="C190" s="117"/>
      <x:c r="D190" s="118"/>
      <x:c r="E190" s="118"/>
      <x:c r="F190" s="118"/>
      <x:c r="G190" s="118"/>
      <x:c r="H190" s="119"/>
      <x:c r="I190" s="118"/>
      <x:c r="J190" s="120"/>
      <x:c r="K190" s="121" t="str">
        <x:f>IF(OR(H190="",J190=""),"",H190*J190)</x:f>
      </x:c>
      <x:c r="L190" s="118"/>
      <x:c r="M190" s="118"/>
      <x:c r="N190" s="122"/>
    </x:row>
    <x:row r="191">
      <x:c r="A191" s="115"/>
      <x:c r="B191" s="116"/>
      <x:c r="C191" s="117"/>
      <x:c r="D191" s="118"/>
      <x:c r="E191" s="118"/>
      <x:c r="F191" s="118"/>
      <x:c r="G191" s="118"/>
      <x:c r="H191" s="119"/>
      <x:c r="I191" s="118"/>
      <x:c r="J191" s="120"/>
      <x:c r="K191" s="121" t="str">
        <x:f>IF(OR(H191="",J191=""),"",H191*J191)</x:f>
      </x:c>
      <x:c r="L191" s="118"/>
      <x:c r="M191" s="118"/>
      <x:c r="N191" s="122"/>
    </x:row>
    <x:row r="192">
      <x:c r="A192" s="115"/>
      <x:c r="B192" s="116"/>
      <x:c r="C192" s="117"/>
      <x:c r="D192" s="118"/>
      <x:c r="E192" s="118"/>
      <x:c r="F192" s="118"/>
      <x:c r="G192" s="118"/>
      <x:c r="H192" s="119"/>
      <x:c r="I192" s="118"/>
      <x:c r="J192" s="120"/>
      <x:c r="K192" s="121" t="str">
        <x:f>IF(OR(H192="",J192=""),"",H192*J192)</x:f>
      </x:c>
      <x:c r="L192" s="118"/>
      <x:c r="M192" s="118"/>
      <x:c r="N192" s="122"/>
    </x:row>
    <x:row r="193">
      <x:c r="A193" s="115"/>
      <x:c r="B193" s="116"/>
      <x:c r="C193" s="117"/>
      <x:c r="D193" s="118"/>
      <x:c r="E193" s="118"/>
      <x:c r="F193" s="118"/>
      <x:c r="G193" s="118"/>
      <x:c r="H193" s="119"/>
      <x:c r="I193" s="118"/>
      <x:c r="J193" s="120"/>
      <x:c r="K193" s="121" t="str">
        <x:f>IF(OR(H193="",J193=""),"",H193*J193)</x:f>
      </x:c>
      <x:c r="L193" s="118"/>
      <x:c r="M193" s="118"/>
      <x:c r="N193" s="122"/>
    </x:row>
    <x:row r="194">
      <x:c r="A194" s="115"/>
      <x:c r="B194" s="116"/>
      <x:c r="C194" s="117"/>
      <x:c r="D194" s="118"/>
      <x:c r="E194" s="118"/>
      <x:c r="F194" s="118"/>
      <x:c r="G194" s="118"/>
      <x:c r="H194" s="119"/>
      <x:c r="I194" s="118"/>
      <x:c r="J194" s="120"/>
      <x:c r="K194" s="121" t="str">
        <x:f>IF(OR(H194="",J194=""),"",H194*J194)</x:f>
      </x:c>
      <x:c r="L194" s="118"/>
      <x:c r="M194" s="118"/>
      <x:c r="N194" s="122"/>
    </x:row>
    <x:row r="195">
      <x:c r="A195" s="115"/>
      <x:c r="B195" s="116"/>
      <x:c r="C195" s="117"/>
      <x:c r="D195" s="118"/>
      <x:c r="E195" s="118"/>
      <x:c r="F195" s="118"/>
      <x:c r="G195" s="118"/>
      <x:c r="H195" s="119"/>
      <x:c r="I195" s="118"/>
      <x:c r="J195" s="120"/>
      <x:c r="K195" s="121" t="str">
        <x:f>IF(OR(H195="",J195=""),"",H195*J195)</x:f>
      </x:c>
      <x:c r="L195" s="118"/>
      <x:c r="M195" s="118"/>
      <x:c r="N195" s="122"/>
    </x:row>
    <x:row r="196">
      <x:c r="A196" s="115"/>
      <x:c r="B196" s="116"/>
      <x:c r="C196" s="117"/>
      <x:c r="D196" s="118"/>
      <x:c r="E196" s="118"/>
      <x:c r="F196" s="118"/>
      <x:c r="G196" s="118"/>
      <x:c r="H196" s="119"/>
      <x:c r="I196" s="118"/>
      <x:c r="J196" s="120"/>
      <x:c r="K196" s="121" t="str">
        <x:f>IF(OR(H196="",J196=""),"",H196*J196)</x:f>
      </x:c>
      <x:c r="L196" s="118"/>
      <x:c r="M196" s="118"/>
      <x:c r="N196" s="122"/>
    </x:row>
    <x:row r="197">
      <x:c r="A197" s="115"/>
      <x:c r="B197" s="116"/>
      <x:c r="C197" s="117"/>
      <x:c r="D197" s="118"/>
      <x:c r="E197" s="118"/>
      <x:c r="F197" s="118"/>
      <x:c r="G197" s="118"/>
      <x:c r="H197" s="119"/>
      <x:c r="I197" s="118"/>
      <x:c r="J197" s="120"/>
      <x:c r="K197" s="121" t="str">
        <x:f>IF(OR(H197="",J197=""),"",H197*J197)</x:f>
      </x:c>
      <x:c r="L197" s="118"/>
      <x:c r="M197" s="118"/>
      <x:c r="N197" s="122"/>
    </x:row>
    <x:row r="198">
      <x:c r="A198" s="115"/>
      <x:c r="B198" s="116"/>
      <x:c r="C198" s="117"/>
      <x:c r="D198" s="118"/>
      <x:c r="E198" s="118"/>
      <x:c r="F198" s="118"/>
      <x:c r="G198" s="118"/>
      <x:c r="H198" s="119"/>
      <x:c r="I198" s="118"/>
      <x:c r="J198" s="120"/>
      <x:c r="K198" s="121" t="str">
        <x:f>IF(OR(H198="",J198=""),"",H198*J198)</x:f>
      </x:c>
      <x:c r="L198" s="118"/>
      <x:c r="M198" s="118"/>
      <x:c r="N198" s="122"/>
    </x:row>
    <x:row r="199">
      <x:c r="A199" s="115"/>
      <x:c r="B199" s="116"/>
      <x:c r="C199" s="117"/>
      <x:c r="D199" s="118"/>
      <x:c r="E199" s="118"/>
      <x:c r="F199" s="118"/>
      <x:c r="G199" s="118"/>
      <x:c r="H199" s="119"/>
      <x:c r="I199" s="118"/>
      <x:c r="J199" s="120"/>
      <x:c r="K199" s="121" t="str">
        <x:f>IF(OR(H199="",J199=""),"",H199*J199)</x:f>
      </x:c>
      <x:c r="L199" s="118"/>
      <x:c r="M199" s="118"/>
      <x:c r="N199" s="122"/>
    </x:row>
    <x:row r="200">
      <x:c r="A200" s="115"/>
      <x:c r="B200" s="116"/>
      <x:c r="C200" s="117"/>
      <x:c r="D200" s="118"/>
      <x:c r="E200" s="118"/>
      <x:c r="F200" s="118"/>
      <x:c r="G200" s="118"/>
      <x:c r="H200" s="119"/>
      <x:c r="I200" s="118"/>
      <x:c r="J200" s="120"/>
      <x:c r="K200" s="121" t="str">
        <x:f>IF(OR(H200="",J200=""),"",H200*J200)</x:f>
      </x:c>
      <x:c r="L200" s="118"/>
      <x:c r="M200" s="118"/>
      <x:c r="N200" s="122"/>
    </x:row>
    <x:row r="201">
      <x:c r="A201" s="115"/>
      <x:c r="B201" s="116"/>
      <x:c r="C201" s="117"/>
      <x:c r="D201" s="118"/>
      <x:c r="E201" s="118"/>
      <x:c r="F201" s="118"/>
      <x:c r="G201" s="118"/>
      <x:c r="H201" s="119"/>
      <x:c r="I201" s="118"/>
      <x:c r="J201" s="120"/>
      <x:c r="K201" s="121" t="str">
        <x:f>IF(OR(H201="",J201=""),"",H201*J201)</x:f>
      </x:c>
      <x:c r="L201" s="118"/>
      <x:c r="M201" s="118"/>
      <x:c r="N201" s="122"/>
    </x:row>
    <x:row r="202">
      <x:c r="A202" s="115"/>
      <x:c r="B202" s="116"/>
      <x:c r="C202" s="117"/>
      <x:c r="D202" s="118"/>
      <x:c r="E202" s="118"/>
      <x:c r="F202" s="118"/>
      <x:c r="G202" s="118"/>
      <x:c r="H202" s="119"/>
      <x:c r="I202" s="118"/>
      <x:c r="J202" s="120"/>
      <x:c r="K202" s="121" t="str">
        <x:f>IF(OR(H202="",J202=""),"",H202*J202)</x:f>
      </x:c>
      <x:c r="L202" s="118"/>
      <x:c r="M202" s="118"/>
      <x:c r="N202" s="122"/>
    </x:row>
    <x:row r="203">
      <x:c r="A203" s="115"/>
      <x:c r="B203" s="116"/>
      <x:c r="C203" s="117"/>
      <x:c r="D203" s="118"/>
      <x:c r="E203" s="118"/>
      <x:c r="F203" s="118"/>
      <x:c r="G203" s="118"/>
      <x:c r="H203" s="119"/>
      <x:c r="I203" s="118"/>
      <x:c r="J203" s="120"/>
      <x:c r="K203" s="121" t="str">
        <x:f>IF(OR(H203="",J203=""),"",H203*J203)</x:f>
      </x:c>
      <x:c r="L203" s="118"/>
      <x:c r="M203" s="118"/>
      <x:c r="N203" s="122"/>
    </x:row>
    <x:row r="204">
      <x:c r="A204" s="115"/>
      <x:c r="B204" s="116"/>
      <x:c r="C204" s="117"/>
      <x:c r="D204" s="118"/>
      <x:c r="E204" s="118"/>
      <x:c r="F204" s="118"/>
      <x:c r="G204" s="118"/>
      <x:c r="H204" s="119"/>
      <x:c r="I204" s="118"/>
      <x:c r="J204" s="120"/>
      <x:c r="K204" s="121" t="str">
        <x:f>IF(OR(H204="",J204=""),"",H204*J204)</x:f>
      </x:c>
      <x:c r="L204" s="118"/>
      <x:c r="M204" s="118"/>
      <x:c r="N204" s="122"/>
    </x:row>
    <x:row r="205">
      <x:c r="A205" s="123"/>
      <x:c r="B205" s="124"/>
      <x:c r="C205" s="125"/>
      <x:c r="D205" s="126"/>
      <x:c r="E205" s="126"/>
      <x:c r="F205" s="126"/>
      <x:c r="G205" s="126"/>
      <x:c r="H205" s="127"/>
      <x:c r="I205" s="126"/>
      <x:c r="J205" s="128"/>
      <x:c r="K205" s="129" t="str">
        <x:f>IF(OR(H205="",J205=""),"",H205*J205)</x:f>
      </x:c>
      <x:c r="L205" s="126"/>
      <x:c r="M205" s="126"/>
      <x:c r="N205" s="130"/>
    </x:row>
  </x:sheetData>
  <x:mergeCells>
    <x:mergeCell ref="A1:N1"/>
    <x:mergeCell ref="A2:L2"/>
    <x:mergeCell ref="A4:N4"/>
  </x:mergeCells>
  <x:conditionalFormatting sqref="L6:L205">
    <x:cfRule type="containsText" dxfId="0" priority="1" operator="containsText" text="Observado"/>
    <x:cfRule type="containsText" dxfId="1" priority="2" operator="containsText" text="Conciliado"/>
  </x:conditionalFormatting>
  <x:dataValidations count="3">
    <x:dataValidation type="list" sqref="L6:L205">
      <x:formula1>'Listas y Guía'!$F$5:$F$8</x:formula1>
    </x:dataValidation>
    <x:dataValidation type="list" sqref="G6:G205">
      <x:formula1>'Listas y Guía'!$L$6:$L$10</x:formula1>
    </x:dataValidation>
    <x:dataValidation type="list" sqref="I6:I205">
      <x:formula1>"USD,ARS"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22" hidden="0" customWidth="1"/>
    <x:col min="10" max="10" width="21" hidden="0" customWidth="1"/>
    <x:col min="11" max="11" width="18" hidden="0" customWidth="1"/>
    <x:col min="12" max="12" width="16" hidden="0" customWidth="1"/>
    <x:col min="13" max="13" width="15" hidden="0" customWidth="1"/>
  </x:cols>
  <x:sheetData>
    <x:row r="1" ht="28" customHeight="1">
      <x:c r="A1" s="4" t="str">
        <x:v>Conciliación con factura de tarjeta</x:v>
      </x:c>
    </x:row>
    <x:row r="2" ht="22" customHeight="1">
      <x:c r="A2" s="7" t="str">
        <x:v>Una fila por resumen de tarjeta. El total AWS proviene automáticamente del Registro AWS según Período e ID resumen TC.</x:v>
      </x:c>
    </x:row>
    <x:row r="4" ht="22" customHeight="1">
      <x:c r="A4" s="10" t="str">
        <x:v>Resumen de la tarjeta y resultado de conciliación</x:v>
      </x:c>
    </x:row>
    <x:row r="5" ht="34" customHeight="1">
      <x:c r="A5" s="51" t="str">
        <x:v>ID resumen TC</x:v>
      </x:c>
      <x:c r="B5" s="52" t="str">
        <x:v>Período
(yyyy-mm)</x:v>
      </x:c>
      <x:c r="C5" s="52" t="str">
        <x:v>Entidad / tarjeta</x:v>
      </x:c>
      <x:c r="D5" s="52" t="str">
        <x:v>Fecha de cierre</x:v>
      </x:c>
      <x:c r="E5" s="52" t="str">
        <x:v>Fecha de vencimiento</x:v>
      </x:c>
      <x:c r="F5" s="52" t="str">
        <x:v>USD AWS
(según registro)</x:v>
      </x:c>
      <x:c r="G5" s="52" t="str">
        <x:v>Tipo de cambio
confirmado</x:v>
      </x:c>
      <x:c r="H5" s="52" t="str">
        <x:v>Costo AWS base
(ARS)</x:v>
      </x:c>
      <x:c r="I5" s="52" t="str">
        <x:v>Impuestos / percepciones
(ARS)</x:v>
      </x:c>
      <x:c r="J5" s="52" t="str">
        <x:v>Otros cargos / créditos
(ARS)</x:v>
      </x:c>
      <x:c r="K5" s="52" t="str">
        <x:v>Total imputado
(ARS)</x:v>
      </x:c>
      <x:c r="L5" s="52" t="str">
        <x:v>Diferencia
(ARS)</x:v>
      </x:c>
      <x:c r="M5" s="53" t="str">
        <x:v>Estado</x:v>
      </x:c>
    </x:row>
    <x:row r="6">
      <x:c r="A6" s="107"/>
      <x:c r="B6" s="108"/>
      <x:c r="C6" s="110"/>
      <x:c r="D6" s="109"/>
      <x:c r="E6" s="109"/>
      <x:c r="F6" s="137" t="str">
        <x:f>IF(OR(A6="",B6=""),"",SUMIFS('Registro AWS'!$H$6:$H$205,'Registro AWS'!$B$6:$B$205,B6,'Registro AWS'!$M$6:$M$205,A6))</x:f>
      </x:c>
      <x:c r="G6" s="112"/>
      <x:c r="H6" s="113" t="str">
        <x:f>IF(OR(F6="",G6=""),"",F6*G6)</x:f>
      </x:c>
      <x:c r="I6" s="138"/>
      <x:c r="J6" s="138"/>
      <x:c r="K6" s="113" t="str">
        <x:f>IF(H6="","",SUM(H6:J6))</x:f>
      </x:c>
      <x:c r="L6" s="113" t="str">
        <x:f>IF(OR(K6="",H6=""),"",K6-H6)</x:f>
      </x:c>
      <x:c r="M6" s="114"/>
    </x:row>
    <x:row r="7">
      <x:c r="A7" s="115"/>
      <x:c r="B7" s="116"/>
      <x:c r="C7" s="118"/>
      <x:c r="D7" s="117"/>
      <x:c r="E7" s="117"/>
      <x:c r="F7" s="139" t="str">
        <x:f>IF(OR(A7="",B7=""),"",SUMIFS('Registro AWS'!$H$6:$H$205,'Registro AWS'!$B$6:$B$205,B7,'Registro AWS'!$M$6:$M$205,A7))</x:f>
      </x:c>
      <x:c r="G7" s="120"/>
      <x:c r="H7" s="121" t="str">
        <x:f>IF(OR(F7="",G7=""),"",F7*G7)</x:f>
      </x:c>
      <x:c r="I7" s="140"/>
      <x:c r="J7" s="140"/>
      <x:c r="K7" s="121" t="str">
        <x:f>IF(H7="","",SUM(H7:J7))</x:f>
      </x:c>
      <x:c r="L7" s="121" t="str">
        <x:f>IF(OR(K7="",H7=""),"",K7-H7)</x:f>
      </x:c>
      <x:c r="M7" s="122"/>
    </x:row>
    <x:row r="8">
      <x:c r="A8" s="115"/>
      <x:c r="B8" s="116"/>
      <x:c r="C8" s="118"/>
      <x:c r="D8" s="117"/>
      <x:c r="E8" s="117"/>
      <x:c r="F8" s="139" t="str">
        <x:f>IF(OR(A8="",B8=""),"",SUMIFS('Registro AWS'!$H$6:$H$205,'Registro AWS'!$B$6:$B$205,B8,'Registro AWS'!$M$6:$M$205,A8))</x:f>
      </x:c>
      <x:c r="G8" s="120"/>
      <x:c r="H8" s="121" t="str">
        <x:f>IF(OR(F8="",G8=""),"",F8*G8)</x:f>
      </x:c>
      <x:c r="I8" s="140"/>
      <x:c r="J8" s="140"/>
      <x:c r="K8" s="121" t="str">
        <x:f>IF(H8="","",SUM(H8:J8))</x:f>
      </x:c>
      <x:c r="L8" s="121" t="str">
        <x:f>IF(OR(K8="",H8=""),"",K8-H8)</x:f>
      </x:c>
      <x:c r="M8" s="122"/>
    </x:row>
    <x:row r="9">
      <x:c r="A9" s="115"/>
      <x:c r="B9" s="116"/>
      <x:c r="C9" s="118"/>
      <x:c r="D9" s="117"/>
      <x:c r="E9" s="117"/>
      <x:c r="F9" s="139" t="str">
        <x:f>IF(OR(A9="",B9=""),"",SUMIFS('Registro AWS'!$H$6:$H$205,'Registro AWS'!$B$6:$B$205,B9,'Registro AWS'!$M$6:$M$205,A9))</x:f>
      </x:c>
      <x:c r="G9" s="120"/>
      <x:c r="H9" s="121" t="str">
        <x:f>IF(OR(F9="",G9=""),"",F9*G9)</x:f>
      </x:c>
      <x:c r="I9" s="140"/>
      <x:c r="J9" s="140"/>
      <x:c r="K9" s="121" t="str">
        <x:f>IF(H9="","",SUM(H9:J9))</x:f>
      </x:c>
      <x:c r="L9" s="121" t="str">
        <x:f>IF(OR(K9="",H9=""),"",K9-H9)</x:f>
      </x:c>
      <x:c r="M9" s="122"/>
    </x:row>
    <x:row r="10">
      <x:c r="A10" s="115"/>
      <x:c r="B10" s="116"/>
      <x:c r="C10" s="118"/>
      <x:c r="D10" s="117"/>
      <x:c r="E10" s="117"/>
      <x:c r="F10" s="139" t="str">
        <x:f>IF(OR(A10="",B10=""),"",SUMIFS('Registro AWS'!$H$6:$H$205,'Registro AWS'!$B$6:$B$205,B10,'Registro AWS'!$M$6:$M$205,A10))</x:f>
      </x:c>
      <x:c r="G10" s="120"/>
      <x:c r="H10" s="121" t="str">
        <x:f>IF(OR(F10="",G10=""),"",F10*G10)</x:f>
      </x:c>
      <x:c r="I10" s="140"/>
      <x:c r="J10" s="140"/>
      <x:c r="K10" s="121" t="str">
        <x:f>IF(H10="","",SUM(H10:J10))</x:f>
      </x:c>
      <x:c r="L10" s="121" t="str">
        <x:f>IF(OR(K10="",H10=""),"",K10-H10)</x:f>
      </x:c>
      <x:c r="M10" s="122"/>
    </x:row>
    <x:row r="11">
      <x:c r="A11" s="115"/>
      <x:c r="B11" s="116"/>
      <x:c r="C11" s="118"/>
      <x:c r="D11" s="117"/>
      <x:c r="E11" s="117"/>
      <x:c r="F11" s="139" t="str">
        <x:f>IF(OR(A11="",B11=""),"",SUMIFS('Registro AWS'!$H$6:$H$205,'Registro AWS'!$B$6:$B$205,B11,'Registro AWS'!$M$6:$M$205,A11))</x:f>
      </x:c>
      <x:c r="G11" s="120"/>
      <x:c r="H11" s="121" t="str">
        <x:f>IF(OR(F11="",G11=""),"",F11*G11)</x:f>
      </x:c>
      <x:c r="I11" s="140"/>
      <x:c r="J11" s="140"/>
      <x:c r="K11" s="121" t="str">
        <x:f>IF(H11="","",SUM(H11:J11))</x:f>
      </x:c>
      <x:c r="L11" s="121" t="str">
        <x:f>IF(OR(K11="",H11=""),"",K11-H11)</x:f>
      </x:c>
      <x:c r="M11" s="122"/>
    </x:row>
    <x:row r="12">
      <x:c r="A12" s="115"/>
      <x:c r="B12" s="116"/>
      <x:c r="C12" s="118"/>
      <x:c r="D12" s="117"/>
      <x:c r="E12" s="117"/>
      <x:c r="F12" s="139" t="str">
        <x:f>IF(OR(A12="",B12=""),"",SUMIFS('Registro AWS'!$H$6:$H$205,'Registro AWS'!$B$6:$B$205,B12,'Registro AWS'!$M$6:$M$205,A12))</x:f>
      </x:c>
      <x:c r="G12" s="120"/>
      <x:c r="H12" s="121" t="str">
        <x:f>IF(OR(F12="",G12=""),"",F12*G12)</x:f>
      </x:c>
      <x:c r="I12" s="140"/>
      <x:c r="J12" s="140"/>
      <x:c r="K12" s="121" t="str">
        <x:f>IF(H12="","",SUM(H12:J12))</x:f>
      </x:c>
      <x:c r="L12" s="121" t="str">
        <x:f>IF(OR(K12="",H12=""),"",K12-H12)</x:f>
      </x:c>
      <x:c r="M12" s="122"/>
    </x:row>
    <x:row r="13">
      <x:c r="A13" s="115"/>
      <x:c r="B13" s="116"/>
      <x:c r="C13" s="118"/>
      <x:c r="D13" s="117"/>
      <x:c r="E13" s="117"/>
      <x:c r="F13" s="139" t="str">
        <x:f>IF(OR(A13="",B13=""),"",SUMIFS('Registro AWS'!$H$6:$H$205,'Registro AWS'!$B$6:$B$205,B13,'Registro AWS'!$M$6:$M$205,A13))</x:f>
      </x:c>
      <x:c r="G13" s="120"/>
      <x:c r="H13" s="121" t="str">
        <x:f>IF(OR(F13="",G13=""),"",F13*G13)</x:f>
      </x:c>
      <x:c r="I13" s="140"/>
      <x:c r="J13" s="140"/>
      <x:c r="K13" s="121" t="str">
        <x:f>IF(H13="","",SUM(H13:J13))</x:f>
      </x:c>
      <x:c r="L13" s="121" t="str">
        <x:f>IF(OR(K13="",H13=""),"",K13-H13)</x:f>
      </x:c>
      <x:c r="M13" s="122"/>
    </x:row>
    <x:row r="14">
      <x:c r="A14" s="115"/>
      <x:c r="B14" s="116"/>
      <x:c r="C14" s="118"/>
      <x:c r="D14" s="117"/>
      <x:c r="E14" s="117"/>
      <x:c r="F14" s="139" t="str">
        <x:f>IF(OR(A14="",B14=""),"",SUMIFS('Registro AWS'!$H$6:$H$205,'Registro AWS'!$B$6:$B$205,B14,'Registro AWS'!$M$6:$M$205,A14))</x:f>
      </x:c>
      <x:c r="G14" s="120"/>
      <x:c r="H14" s="121" t="str">
        <x:f>IF(OR(F14="",G14=""),"",F14*G14)</x:f>
      </x:c>
      <x:c r="I14" s="140"/>
      <x:c r="J14" s="140"/>
      <x:c r="K14" s="121" t="str">
        <x:f>IF(H14="","",SUM(H14:J14))</x:f>
      </x:c>
      <x:c r="L14" s="121" t="str">
        <x:f>IF(OR(K14="",H14=""),"",K14-H14)</x:f>
      </x:c>
      <x:c r="M14" s="122"/>
    </x:row>
    <x:row r="15">
      <x:c r="A15" s="115"/>
      <x:c r="B15" s="116"/>
      <x:c r="C15" s="118"/>
      <x:c r="D15" s="117"/>
      <x:c r="E15" s="117"/>
      <x:c r="F15" s="139" t="str">
        <x:f>IF(OR(A15="",B15=""),"",SUMIFS('Registro AWS'!$H$6:$H$205,'Registro AWS'!$B$6:$B$205,B15,'Registro AWS'!$M$6:$M$205,A15))</x:f>
      </x:c>
      <x:c r="G15" s="120"/>
      <x:c r="H15" s="121" t="str">
        <x:f>IF(OR(F15="",G15=""),"",F15*G15)</x:f>
      </x:c>
      <x:c r="I15" s="140"/>
      <x:c r="J15" s="140"/>
      <x:c r="K15" s="121" t="str">
        <x:f>IF(H15="","",SUM(H15:J15))</x:f>
      </x:c>
      <x:c r="L15" s="121" t="str">
        <x:f>IF(OR(K15="",H15=""),"",K15-H15)</x:f>
      </x:c>
      <x:c r="M15" s="122"/>
    </x:row>
    <x:row r="16">
      <x:c r="A16" s="115"/>
      <x:c r="B16" s="116"/>
      <x:c r="C16" s="118"/>
      <x:c r="D16" s="117"/>
      <x:c r="E16" s="117"/>
      <x:c r="F16" s="139" t="str">
        <x:f>IF(OR(A16="",B16=""),"",SUMIFS('Registro AWS'!$H$6:$H$205,'Registro AWS'!$B$6:$B$205,B16,'Registro AWS'!$M$6:$M$205,A16))</x:f>
      </x:c>
      <x:c r="G16" s="120"/>
      <x:c r="H16" s="121" t="str">
        <x:f>IF(OR(F16="",G16=""),"",F16*G16)</x:f>
      </x:c>
      <x:c r="I16" s="140"/>
      <x:c r="J16" s="140"/>
      <x:c r="K16" s="121" t="str">
        <x:f>IF(H16="","",SUM(H16:J16))</x:f>
      </x:c>
      <x:c r="L16" s="121" t="str">
        <x:f>IF(OR(K16="",H16=""),"",K16-H16)</x:f>
      </x:c>
      <x:c r="M16" s="122"/>
    </x:row>
    <x:row r="17">
      <x:c r="A17" s="115"/>
      <x:c r="B17" s="116"/>
      <x:c r="C17" s="118"/>
      <x:c r="D17" s="117"/>
      <x:c r="E17" s="117"/>
      <x:c r="F17" s="139" t="str">
        <x:f>IF(OR(A17="",B17=""),"",SUMIFS('Registro AWS'!$H$6:$H$205,'Registro AWS'!$B$6:$B$205,B17,'Registro AWS'!$M$6:$M$205,A17))</x:f>
      </x:c>
      <x:c r="G17" s="120"/>
      <x:c r="H17" s="121" t="str">
        <x:f>IF(OR(F17="",G17=""),"",F17*G17)</x:f>
      </x:c>
      <x:c r="I17" s="140"/>
      <x:c r="J17" s="140"/>
      <x:c r="K17" s="121" t="str">
        <x:f>IF(H17="","",SUM(H17:J17))</x:f>
      </x:c>
      <x:c r="L17" s="121" t="str">
        <x:f>IF(OR(K17="",H17=""),"",K17-H17)</x:f>
      </x:c>
      <x:c r="M17" s="122"/>
    </x:row>
    <x:row r="18">
      <x:c r="A18" s="115"/>
      <x:c r="B18" s="116"/>
      <x:c r="C18" s="118"/>
      <x:c r="D18" s="117"/>
      <x:c r="E18" s="117"/>
      <x:c r="F18" s="139" t="str">
        <x:f>IF(OR(A18="",B18=""),"",SUMIFS('Registro AWS'!$H$6:$H$205,'Registro AWS'!$B$6:$B$205,B18,'Registro AWS'!$M$6:$M$205,A18))</x:f>
      </x:c>
      <x:c r="G18" s="120"/>
      <x:c r="H18" s="121" t="str">
        <x:f>IF(OR(F18="",G18=""),"",F18*G18)</x:f>
      </x:c>
      <x:c r="I18" s="140"/>
      <x:c r="J18" s="140"/>
      <x:c r="K18" s="121" t="str">
        <x:f>IF(H18="","",SUM(H18:J18))</x:f>
      </x:c>
      <x:c r="L18" s="121" t="str">
        <x:f>IF(OR(K18="",H18=""),"",K18-H18)</x:f>
      </x:c>
      <x:c r="M18" s="122"/>
    </x:row>
    <x:row r="19">
      <x:c r="A19" s="115"/>
      <x:c r="B19" s="116"/>
      <x:c r="C19" s="118"/>
      <x:c r="D19" s="117"/>
      <x:c r="E19" s="117"/>
      <x:c r="F19" s="139" t="str">
        <x:f>IF(OR(A19="",B19=""),"",SUMIFS('Registro AWS'!$H$6:$H$205,'Registro AWS'!$B$6:$B$205,B19,'Registro AWS'!$M$6:$M$205,A19))</x:f>
      </x:c>
      <x:c r="G19" s="120"/>
      <x:c r="H19" s="121" t="str">
        <x:f>IF(OR(F19="",G19=""),"",F19*G19)</x:f>
      </x:c>
      <x:c r="I19" s="140"/>
      <x:c r="J19" s="140"/>
      <x:c r="K19" s="121" t="str">
        <x:f>IF(H19="","",SUM(H19:J19))</x:f>
      </x:c>
      <x:c r="L19" s="121" t="str">
        <x:f>IF(OR(K19="",H19=""),"",K19-H19)</x:f>
      </x:c>
      <x:c r="M19" s="122"/>
    </x:row>
    <x:row r="20">
      <x:c r="A20" s="115"/>
      <x:c r="B20" s="116"/>
      <x:c r="C20" s="118"/>
      <x:c r="D20" s="117"/>
      <x:c r="E20" s="117"/>
      <x:c r="F20" s="139" t="str">
        <x:f>IF(OR(A20="",B20=""),"",SUMIFS('Registro AWS'!$H$6:$H$205,'Registro AWS'!$B$6:$B$205,B20,'Registro AWS'!$M$6:$M$205,A20))</x:f>
      </x:c>
      <x:c r="G20" s="120"/>
      <x:c r="H20" s="121" t="str">
        <x:f>IF(OR(F20="",G20=""),"",F20*G20)</x:f>
      </x:c>
      <x:c r="I20" s="140"/>
      <x:c r="J20" s="140"/>
      <x:c r="K20" s="121" t="str">
        <x:f>IF(H20="","",SUM(H20:J20))</x:f>
      </x:c>
      <x:c r="L20" s="121" t="str">
        <x:f>IF(OR(K20="",H20=""),"",K20-H20)</x:f>
      </x:c>
      <x:c r="M20" s="122"/>
    </x:row>
    <x:row r="21">
      <x:c r="A21" s="115"/>
      <x:c r="B21" s="116"/>
      <x:c r="C21" s="118"/>
      <x:c r="D21" s="117"/>
      <x:c r="E21" s="117"/>
      <x:c r="F21" s="139" t="str">
        <x:f>IF(OR(A21="",B21=""),"",SUMIFS('Registro AWS'!$H$6:$H$205,'Registro AWS'!$B$6:$B$205,B21,'Registro AWS'!$M$6:$M$205,A21))</x:f>
      </x:c>
      <x:c r="G21" s="120"/>
      <x:c r="H21" s="121" t="str">
        <x:f>IF(OR(F21="",G21=""),"",F21*G21)</x:f>
      </x:c>
      <x:c r="I21" s="140"/>
      <x:c r="J21" s="140"/>
      <x:c r="K21" s="121" t="str">
        <x:f>IF(H21="","",SUM(H21:J21))</x:f>
      </x:c>
      <x:c r="L21" s="121" t="str">
        <x:f>IF(OR(K21="",H21=""),"",K21-H21)</x:f>
      </x:c>
      <x:c r="M21" s="122"/>
    </x:row>
    <x:row r="22">
      <x:c r="A22" s="115"/>
      <x:c r="B22" s="116"/>
      <x:c r="C22" s="118"/>
      <x:c r="D22" s="117"/>
      <x:c r="E22" s="117"/>
      <x:c r="F22" s="139" t="str">
        <x:f>IF(OR(A22="",B22=""),"",SUMIFS('Registro AWS'!$H$6:$H$205,'Registro AWS'!$B$6:$B$205,B22,'Registro AWS'!$M$6:$M$205,A22))</x:f>
      </x:c>
      <x:c r="G22" s="120"/>
      <x:c r="H22" s="121" t="str">
        <x:f>IF(OR(F22="",G22=""),"",F22*G22)</x:f>
      </x:c>
      <x:c r="I22" s="140"/>
      <x:c r="J22" s="140"/>
      <x:c r="K22" s="121" t="str">
        <x:f>IF(H22="","",SUM(H22:J22))</x:f>
      </x:c>
      <x:c r="L22" s="121" t="str">
        <x:f>IF(OR(K22="",H22=""),"",K22-H22)</x:f>
      </x:c>
      <x:c r="M22" s="122"/>
    </x:row>
    <x:row r="23">
      <x:c r="A23" s="115"/>
      <x:c r="B23" s="116"/>
      <x:c r="C23" s="118"/>
      <x:c r="D23" s="117"/>
      <x:c r="E23" s="117"/>
      <x:c r="F23" s="139" t="str">
        <x:f>IF(OR(A23="",B23=""),"",SUMIFS('Registro AWS'!$H$6:$H$205,'Registro AWS'!$B$6:$B$205,B23,'Registro AWS'!$M$6:$M$205,A23))</x:f>
      </x:c>
      <x:c r="G23" s="120"/>
      <x:c r="H23" s="121" t="str">
        <x:f>IF(OR(F23="",G23=""),"",F23*G23)</x:f>
      </x:c>
      <x:c r="I23" s="140"/>
      <x:c r="J23" s="140"/>
      <x:c r="K23" s="121" t="str">
        <x:f>IF(H23="","",SUM(H23:J23))</x:f>
      </x:c>
      <x:c r="L23" s="121" t="str">
        <x:f>IF(OR(K23="",H23=""),"",K23-H23)</x:f>
      </x:c>
      <x:c r="M23" s="122"/>
    </x:row>
    <x:row r="24">
      <x:c r="A24" s="115"/>
      <x:c r="B24" s="116"/>
      <x:c r="C24" s="118"/>
      <x:c r="D24" s="117"/>
      <x:c r="E24" s="117"/>
      <x:c r="F24" s="139" t="str">
        <x:f>IF(OR(A24="",B24=""),"",SUMIFS('Registro AWS'!$H$6:$H$205,'Registro AWS'!$B$6:$B$205,B24,'Registro AWS'!$M$6:$M$205,A24))</x:f>
      </x:c>
      <x:c r="G24" s="120"/>
      <x:c r="H24" s="121" t="str">
        <x:f>IF(OR(F24="",G24=""),"",F24*G24)</x:f>
      </x:c>
      <x:c r="I24" s="140"/>
      <x:c r="J24" s="140"/>
      <x:c r="K24" s="121" t="str">
        <x:f>IF(H24="","",SUM(H24:J24))</x:f>
      </x:c>
      <x:c r="L24" s="121" t="str">
        <x:f>IF(OR(K24="",H24=""),"",K24-H24)</x:f>
      </x:c>
      <x:c r="M24" s="122"/>
    </x:row>
    <x:row r="25">
      <x:c r="A25" s="115"/>
      <x:c r="B25" s="116"/>
      <x:c r="C25" s="118"/>
      <x:c r="D25" s="117"/>
      <x:c r="E25" s="117"/>
      <x:c r="F25" s="139" t="str">
        <x:f>IF(OR(A25="",B25=""),"",SUMIFS('Registro AWS'!$H$6:$H$205,'Registro AWS'!$B$6:$B$205,B25,'Registro AWS'!$M$6:$M$205,A25))</x:f>
      </x:c>
      <x:c r="G25" s="120"/>
      <x:c r="H25" s="121" t="str">
        <x:f>IF(OR(F25="",G25=""),"",F25*G25)</x:f>
      </x:c>
      <x:c r="I25" s="140"/>
      <x:c r="J25" s="140"/>
      <x:c r="K25" s="121" t="str">
        <x:f>IF(H25="","",SUM(H25:J25))</x:f>
      </x:c>
      <x:c r="L25" s="121" t="str">
        <x:f>IF(OR(K25="",H25=""),"",K25-H25)</x:f>
      </x:c>
      <x:c r="M25" s="122"/>
    </x:row>
    <x:row r="26">
      <x:c r="A26" s="115"/>
      <x:c r="B26" s="116"/>
      <x:c r="C26" s="118"/>
      <x:c r="D26" s="117"/>
      <x:c r="E26" s="117"/>
      <x:c r="F26" s="139" t="str">
        <x:f>IF(OR(A26="",B26=""),"",SUMIFS('Registro AWS'!$H$6:$H$205,'Registro AWS'!$B$6:$B$205,B26,'Registro AWS'!$M$6:$M$205,A26))</x:f>
      </x:c>
      <x:c r="G26" s="120"/>
      <x:c r="H26" s="121" t="str">
        <x:f>IF(OR(F26="",G26=""),"",F26*G26)</x:f>
      </x:c>
      <x:c r="I26" s="140"/>
      <x:c r="J26" s="140"/>
      <x:c r="K26" s="121" t="str">
        <x:f>IF(H26="","",SUM(H26:J26))</x:f>
      </x:c>
      <x:c r="L26" s="121" t="str">
        <x:f>IF(OR(K26="",H26=""),"",K26-H26)</x:f>
      </x:c>
      <x:c r="M26" s="122"/>
    </x:row>
    <x:row r="27">
      <x:c r="A27" s="115"/>
      <x:c r="B27" s="116"/>
      <x:c r="C27" s="118"/>
      <x:c r="D27" s="117"/>
      <x:c r="E27" s="117"/>
      <x:c r="F27" s="139" t="str">
        <x:f>IF(OR(A27="",B27=""),"",SUMIFS('Registro AWS'!$H$6:$H$205,'Registro AWS'!$B$6:$B$205,B27,'Registro AWS'!$M$6:$M$205,A27))</x:f>
      </x:c>
      <x:c r="G27" s="120"/>
      <x:c r="H27" s="121" t="str">
        <x:f>IF(OR(F27="",G27=""),"",F27*G27)</x:f>
      </x:c>
      <x:c r="I27" s="140"/>
      <x:c r="J27" s="140"/>
      <x:c r="K27" s="121" t="str">
        <x:f>IF(H27="","",SUM(H27:J27))</x:f>
      </x:c>
      <x:c r="L27" s="121" t="str">
        <x:f>IF(OR(K27="",H27=""),"",K27-H27)</x:f>
      </x:c>
      <x:c r="M27" s="122"/>
    </x:row>
    <x:row r="28">
      <x:c r="A28" s="115"/>
      <x:c r="B28" s="116"/>
      <x:c r="C28" s="118"/>
      <x:c r="D28" s="117"/>
      <x:c r="E28" s="117"/>
      <x:c r="F28" s="139" t="str">
        <x:f>IF(OR(A28="",B28=""),"",SUMIFS('Registro AWS'!$H$6:$H$205,'Registro AWS'!$B$6:$B$205,B28,'Registro AWS'!$M$6:$M$205,A28))</x:f>
      </x:c>
      <x:c r="G28" s="120"/>
      <x:c r="H28" s="121" t="str">
        <x:f>IF(OR(F28="",G28=""),"",F28*G28)</x:f>
      </x:c>
      <x:c r="I28" s="140"/>
      <x:c r="J28" s="140"/>
      <x:c r="K28" s="121" t="str">
        <x:f>IF(H28="","",SUM(H28:J28))</x:f>
      </x:c>
      <x:c r="L28" s="121" t="str">
        <x:f>IF(OR(K28="",H28=""),"",K28-H28)</x:f>
      </x:c>
      <x:c r="M28" s="122"/>
    </x:row>
    <x:row r="29">
      <x:c r="A29" s="115"/>
      <x:c r="B29" s="116"/>
      <x:c r="C29" s="118"/>
      <x:c r="D29" s="117"/>
      <x:c r="E29" s="117"/>
      <x:c r="F29" s="139" t="str">
        <x:f>IF(OR(A29="",B29=""),"",SUMIFS('Registro AWS'!$H$6:$H$205,'Registro AWS'!$B$6:$B$205,B29,'Registro AWS'!$M$6:$M$205,A29))</x:f>
      </x:c>
      <x:c r="G29" s="120"/>
      <x:c r="H29" s="121" t="str">
        <x:f>IF(OR(F29="",G29=""),"",F29*G29)</x:f>
      </x:c>
      <x:c r="I29" s="140"/>
      <x:c r="J29" s="140"/>
      <x:c r="K29" s="121" t="str">
        <x:f>IF(H29="","",SUM(H29:J29))</x:f>
      </x:c>
      <x:c r="L29" s="121" t="str">
        <x:f>IF(OR(K29="",H29=""),"",K29-H29)</x:f>
      </x:c>
      <x:c r="M29" s="122"/>
    </x:row>
    <x:row r="30">
      <x:c r="A30" s="115"/>
      <x:c r="B30" s="116"/>
      <x:c r="C30" s="118"/>
      <x:c r="D30" s="117"/>
      <x:c r="E30" s="117"/>
      <x:c r="F30" s="139" t="str">
        <x:f>IF(OR(A30="",B30=""),"",SUMIFS('Registro AWS'!$H$6:$H$205,'Registro AWS'!$B$6:$B$205,B30,'Registro AWS'!$M$6:$M$205,A30))</x:f>
      </x:c>
      <x:c r="G30" s="120"/>
      <x:c r="H30" s="121" t="str">
        <x:f>IF(OR(F30="",G30=""),"",F30*G30)</x:f>
      </x:c>
      <x:c r="I30" s="140"/>
      <x:c r="J30" s="140"/>
      <x:c r="K30" s="121" t="str">
        <x:f>IF(H30="","",SUM(H30:J30))</x:f>
      </x:c>
      <x:c r="L30" s="121" t="str">
        <x:f>IF(OR(K30="",H30=""),"",K30-H30)</x:f>
      </x:c>
      <x:c r="M30" s="122"/>
    </x:row>
    <x:row r="31">
      <x:c r="A31" s="115"/>
      <x:c r="B31" s="116"/>
      <x:c r="C31" s="118"/>
      <x:c r="D31" s="117"/>
      <x:c r="E31" s="117"/>
      <x:c r="F31" s="139" t="str">
        <x:f>IF(OR(A31="",B31=""),"",SUMIFS('Registro AWS'!$H$6:$H$205,'Registro AWS'!$B$6:$B$205,B31,'Registro AWS'!$M$6:$M$205,A31))</x:f>
      </x:c>
      <x:c r="G31" s="120"/>
      <x:c r="H31" s="121" t="str">
        <x:f>IF(OR(F31="",G31=""),"",F31*G31)</x:f>
      </x:c>
      <x:c r="I31" s="140"/>
      <x:c r="J31" s="140"/>
      <x:c r="K31" s="121" t="str">
        <x:f>IF(H31="","",SUM(H31:J31))</x:f>
      </x:c>
      <x:c r="L31" s="121" t="str">
        <x:f>IF(OR(K31="",H31=""),"",K31-H31)</x:f>
      </x:c>
      <x:c r="M31" s="122"/>
    </x:row>
    <x:row r="32">
      <x:c r="A32" s="115"/>
      <x:c r="B32" s="116"/>
      <x:c r="C32" s="118"/>
      <x:c r="D32" s="117"/>
      <x:c r="E32" s="117"/>
      <x:c r="F32" s="139" t="str">
        <x:f>IF(OR(A32="",B32=""),"",SUMIFS('Registro AWS'!$H$6:$H$205,'Registro AWS'!$B$6:$B$205,B32,'Registro AWS'!$M$6:$M$205,A32))</x:f>
      </x:c>
      <x:c r="G32" s="120"/>
      <x:c r="H32" s="121" t="str">
        <x:f>IF(OR(F32="",G32=""),"",F32*G32)</x:f>
      </x:c>
      <x:c r="I32" s="140"/>
      <x:c r="J32" s="140"/>
      <x:c r="K32" s="121" t="str">
        <x:f>IF(H32="","",SUM(H32:J32))</x:f>
      </x:c>
      <x:c r="L32" s="121" t="str">
        <x:f>IF(OR(K32="",H32=""),"",K32-H32)</x:f>
      </x:c>
      <x:c r="M32" s="122"/>
    </x:row>
    <x:row r="33">
      <x:c r="A33" s="115"/>
      <x:c r="B33" s="116"/>
      <x:c r="C33" s="118"/>
      <x:c r="D33" s="117"/>
      <x:c r="E33" s="117"/>
      <x:c r="F33" s="139" t="str">
        <x:f>IF(OR(A33="",B33=""),"",SUMIFS('Registro AWS'!$H$6:$H$205,'Registro AWS'!$B$6:$B$205,B33,'Registro AWS'!$M$6:$M$205,A33))</x:f>
      </x:c>
      <x:c r="G33" s="120"/>
      <x:c r="H33" s="121" t="str">
        <x:f>IF(OR(F33="",G33=""),"",F33*G33)</x:f>
      </x:c>
      <x:c r="I33" s="140"/>
      <x:c r="J33" s="140"/>
      <x:c r="K33" s="121" t="str">
        <x:f>IF(H33="","",SUM(H33:J33))</x:f>
      </x:c>
      <x:c r="L33" s="121" t="str">
        <x:f>IF(OR(K33="",H33=""),"",K33-H33)</x:f>
      </x:c>
      <x:c r="M33" s="122"/>
    </x:row>
    <x:row r="34">
      <x:c r="A34" s="115"/>
      <x:c r="B34" s="116"/>
      <x:c r="C34" s="118"/>
      <x:c r="D34" s="117"/>
      <x:c r="E34" s="117"/>
      <x:c r="F34" s="139" t="str">
        <x:f>IF(OR(A34="",B34=""),"",SUMIFS('Registro AWS'!$H$6:$H$205,'Registro AWS'!$B$6:$B$205,B34,'Registro AWS'!$M$6:$M$205,A34))</x:f>
      </x:c>
      <x:c r="G34" s="120"/>
      <x:c r="H34" s="121" t="str">
        <x:f>IF(OR(F34="",G34=""),"",F34*G34)</x:f>
      </x:c>
      <x:c r="I34" s="140"/>
      <x:c r="J34" s="140"/>
      <x:c r="K34" s="121" t="str">
        <x:f>IF(H34="","",SUM(H34:J34))</x:f>
      </x:c>
      <x:c r="L34" s="121" t="str">
        <x:f>IF(OR(K34="",H34=""),"",K34-H34)</x:f>
      </x:c>
      <x:c r="M34" s="122"/>
    </x:row>
    <x:row r="35">
      <x:c r="A35" s="115"/>
      <x:c r="B35" s="116"/>
      <x:c r="C35" s="118"/>
      <x:c r="D35" s="117"/>
      <x:c r="E35" s="117"/>
      <x:c r="F35" s="139" t="str">
        <x:f>IF(OR(A35="",B35=""),"",SUMIFS('Registro AWS'!$H$6:$H$205,'Registro AWS'!$B$6:$B$205,B35,'Registro AWS'!$M$6:$M$205,A35))</x:f>
      </x:c>
      <x:c r="G35" s="120"/>
      <x:c r="H35" s="121" t="str">
        <x:f>IF(OR(F35="",G35=""),"",F35*G35)</x:f>
      </x:c>
      <x:c r="I35" s="140"/>
      <x:c r="J35" s="140"/>
      <x:c r="K35" s="121" t="str">
        <x:f>IF(H35="","",SUM(H35:J35))</x:f>
      </x:c>
      <x:c r="L35" s="121" t="str">
        <x:f>IF(OR(K35="",H35=""),"",K35-H35)</x:f>
      </x:c>
      <x:c r="M35" s="122"/>
    </x:row>
    <x:row r="36">
      <x:c r="A36" s="115"/>
      <x:c r="B36" s="116"/>
      <x:c r="C36" s="118"/>
      <x:c r="D36" s="117"/>
      <x:c r="E36" s="117"/>
      <x:c r="F36" s="139" t="str">
        <x:f>IF(OR(A36="",B36=""),"",SUMIFS('Registro AWS'!$H$6:$H$205,'Registro AWS'!$B$6:$B$205,B36,'Registro AWS'!$M$6:$M$205,A36))</x:f>
      </x:c>
      <x:c r="G36" s="120"/>
      <x:c r="H36" s="121" t="str">
        <x:f>IF(OR(F36="",G36=""),"",F36*G36)</x:f>
      </x:c>
      <x:c r="I36" s="140"/>
      <x:c r="J36" s="140"/>
      <x:c r="K36" s="121" t="str">
        <x:f>IF(H36="","",SUM(H36:J36))</x:f>
      </x:c>
      <x:c r="L36" s="121" t="str">
        <x:f>IF(OR(K36="",H36=""),"",K36-H36)</x:f>
      </x:c>
      <x:c r="M36" s="122"/>
    </x:row>
    <x:row r="37">
      <x:c r="A37" s="115"/>
      <x:c r="B37" s="116"/>
      <x:c r="C37" s="118"/>
      <x:c r="D37" s="117"/>
      <x:c r="E37" s="117"/>
      <x:c r="F37" s="139" t="str">
        <x:f>IF(OR(A37="",B37=""),"",SUMIFS('Registro AWS'!$H$6:$H$205,'Registro AWS'!$B$6:$B$205,B37,'Registro AWS'!$M$6:$M$205,A37))</x:f>
      </x:c>
      <x:c r="G37" s="120"/>
      <x:c r="H37" s="121" t="str">
        <x:f>IF(OR(F37="",G37=""),"",F37*G37)</x:f>
      </x:c>
      <x:c r="I37" s="140"/>
      <x:c r="J37" s="140"/>
      <x:c r="K37" s="121" t="str">
        <x:f>IF(H37="","",SUM(H37:J37))</x:f>
      </x:c>
      <x:c r="L37" s="121" t="str">
        <x:f>IF(OR(K37="",H37=""),"",K37-H37)</x:f>
      </x:c>
      <x:c r="M37" s="122"/>
    </x:row>
    <x:row r="38">
      <x:c r="A38" s="115"/>
      <x:c r="B38" s="116"/>
      <x:c r="C38" s="118"/>
      <x:c r="D38" s="117"/>
      <x:c r="E38" s="117"/>
      <x:c r="F38" s="139" t="str">
        <x:f>IF(OR(A38="",B38=""),"",SUMIFS('Registro AWS'!$H$6:$H$205,'Registro AWS'!$B$6:$B$205,B38,'Registro AWS'!$M$6:$M$205,A38))</x:f>
      </x:c>
      <x:c r="G38" s="120"/>
      <x:c r="H38" s="121" t="str">
        <x:f>IF(OR(F38="",G38=""),"",F38*G38)</x:f>
      </x:c>
      <x:c r="I38" s="140"/>
      <x:c r="J38" s="140"/>
      <x:c r="K38" s="121" t="str">
        <x:f>IF(H38="","",SUM(H38:J38))</x:f>
      </x:c>
      <x:c r="L38" s="121" t="str">
        <x:f>IF(OR(K38="",H38=""),"",K38-H38)</x:f>
      </x:c>
      <x:c r="M38" s="122"/>
    </x:row>
    <x:row r="39">
      <x:c r="A39" s="115"/>
      <x:c r="B39" s="116"/>
      <x:c r="C39" s="118"/>
      <x:c r="D39" s="117"/>
      <x:c r="E39" s="117"/>
      <x:c r="F39" s="139" t="str">
        <x:f>IF(OR(A39="",B39=""),"",SUMIFS('Registro AWS'!$H$6:$H$205,'Registro AWS'!$B$6:$B$205,B39,'Registro AWS'!$M$6:$M$205,A39))</x:f>
      </x:c>
      <x:c r="G39" s="120"/>
      <x:c r="H39" s="121" t="str">
        <x:f>IF(OR(F39="",G39=""),"",F39*G39)</x:f>
      </x:c>
      <x:c r="I39" s="140"/>
      <x:c r="J39" s="140"/>
      <x:c r="K39" s="121" t="str">
        <x:f>IF(H39="","",SUM(H39:J39))</x:f>
      </x:c>
      <x:c r="L39" s="121" t="str">
        <x:f>IF(OR(K39="",H39=""),"",K39-H39)</x:f>
      </x:c>
      <x:c r="M39" s="122"/>
    </x:row>
    <x:row r="40">
      <x:c r="A40" s="115"/>
      <x:c r="B40" s="116"/>
      <x:c r="C40" s="118"/>
      <x:c r="D40" s="117"/>
      <x:c r="E40" s="117"/>
      <x:c r="F40" s="139" t="str">
        <x:f>IF(OR(A40="",B40=""),"",SUMIFS('Registro AWS'!$H$6:$H$205,'Registro AWS'!$B$6:$B$205,B40,'Registro AWS'!$M$6:$M$205,A40))</x:f>
      </x:c>
      <x:c r="G40" s="120"/>
      <x:c r="H40" s="121" t="str">
        <x:f>IF(OR(F40="",G40=""),"",F40*G40)</x:f>
      </x:c>
      <x:c r="I40" s="140"/>
      <x:c r="J40" s="140"/>
      <x:c r="K40" s="121" t="str">
        <x:f>IF(H40="","",SUM(H40:J40))</x:f>
      </x:c>
      <x:c r="L40" s="121" t="str">
        <x:f>IF(OR(K40="",H40=""),"",K40-H40)</x:f>
      </x:c>
      <x:c r="M40" s="122"/>
    </x:row>
    <x:row r="41">
      <x:c r="A41" s="115"/>
      <x:c r="B41" s="116"/>
      <x:c r="C41" s="118"/>
      <x:c r="D41" s="117"/>
      <x:c r="E41" s="117"/>
      <x:c r="F41" s="139" t="str">
        <x:f>IF(OR(A41="",B41=""),"",SUMIFS('Registro AWS'!$H$6:$H$205,'Registro AWS'!$B$6:$B$205,B41,'Registro AWS'!$M$6:$M$205,A41))</x:f>
      </x:c>
      <x:c r="G41" s="120"/>
      <x:c r="H41" s="121" t="str">
        <x:f>IF(OR(F41="",G41=""),"",F41*G41)</x:f>
      </x:c>
      <x:c r="I41" s="140"/>
      <x:c r="J41" s="140"/>
      <x:c r="K41" s="121" t="str">
        <x:f>IF(H41="","",SUM(H41:J41))</x:f>
      </x:c>
      <x:c r="L41" s="121" t="str">
        <x:f>IF(OR(K41="",H41=""),"",K41-H41)</x:f>
      </x:c>
      <x:c r="M41" s="122"/>
    </x:row>
    <x:row r="42">
      <x:c r="A42" s="115"/>
      <x:c r="B42" s="116"/>
      <x:c r="C42" s="118"/>
      <x:c r="D42" s="117"/>
      <x:c r="E42" s="117"/>
      <x:c r="F42" s="139" t="str">
        <x:f>IF(OR(A42="",B42=""),"",SUMIFS('Registro AWS'!$H$6:$H$205,'Registro AWS'!$B$6:$B$205,B42,'Registro AWS'!$M$6:$M$205,A42))</x:f>
      </x:c>
      <x:c r="G42" s="120"/>
      <x:c r="H42" s="121" t="str">
        <x:f>IF(OR(F42="",G42=""),"",F42*G42)</x:f>
      </x:c>
      <x:c r="I42" s="140"/>
      <x:c r="J42" s="140"/>
      <x:c r="K42" s="121" t="str">
        <x:f>IF(H42="","",SUM(H42:J42))</x:f>
      </x:c>
      <x:c r="L42" s="121" t="str">
        <x:f>IF(OR(K42="",H42=""),"",K42-H42)</x:f>
      </x:c>
      <x:c r="M42" s="122"/>
    </x:row>
    <x:row r="43">
      <x:c r="A43" s="115"/>
      <x:c r="B43" s="116"/>
      <x:c r="C43" s="118"/>
      <x:c r="D43" s="117"/>
      <x:c r="E43" s="117"/>
      <x:c r="F43" s="139" t="str">
        <x:f>IF(OR(A43="",B43=""),"",SUMIFS('Registro AWS'!$H$6:$H$205,'Registro AWS'!$B$6:$B$205,B43,'Registro AWS'!$M$6:$M$205,A43))</x:f>
      </x:c>
      <x:c r="G43" s="120"/>
      <x:c r="H43" s="121" t="str">
        <x:f>IF(OR(F43="",G43=""),"",F43*G43)</x:f>
      </x:c>
      <x:c r="I43" s="140"/>
      <x:c r="J43" s="140"/>
      <x:c r="K43" s="121" t="str">
        <x:f>IF(H43="","",SUM(H43:J43))</x:f>
      </x:c>
      <x:c r="L43" s="121" t="str">
        <x:f>IF(OR(K43="",H43=""),"",K43-H43)</x:f>
      </x:c>
      <x:c r="M43" s="122"/>
    </x:row>
    <x:row r="44">
      <x:c r="A44" s="115"/>
      <x:c r="B44" s="116"/>
      <x:c r="C44" s="118"/>
      <x:c r="D44" s="117"/>
      <x:c r="E44" s="117"/>
      <x:c r="F44" s="139" t="str">
        <x:f>IF(OR(A44="",B44=""),"",SUMIFS('Registro AWS'!$H$6:$H$205,'Registro AWS'!$B$6:$B$205,B44,'Registro AWS'!$M$6:$M$205,A44))</x:f>
      </x:c>
      <x:c r="G44" s="120"/>
      <x:c r="H44" s="121" t="str">
        <x:f>IF(OR(F44="",G44=""),"",F44*G44)</x:f>
      </x:c>
      <x:c r="I44" s="140"/>
      <x:c r="J44" s="140"/>
      <x:c r="K44" s="121" t="str">
        <x:f>IF(H44="","",SUM(H44:J44))</x:f>
      </x:c>
      <x:c r="L44" s="121" t="str">
        <x:f>IF(OR(K44="",H44=""),"",K44-H44)</x:f>
      </x:c>
      <x:c r="M44" s="122"/>
    </x:row>
    <x:row r="45">
      <x:c r="A45" s="115"/>
      <x:c r="B45" s="116"/>
      <x:c r="C45" s="118"/>
      <x:c r="D45" s="117"/>
      <x:c r="E45" s="117"/>
      <x:c r="F45" s="139" t="str">
        <x:f>IF(OR(A45="",B45=""),"",SUMIFS('Registro AWS'!$H$6:$H$205,'Registro AWS'!$B$6:$B$205,B45,'Registro AWS'!$M$6:$M$205,A45))</x:f>
      </x:c>
      <x:c r="G45" s="120"/>
      <x:c r="H45" s="121" t="str">
        <x:f>IF(OR(F45="",G45=""),"",F45*G45)</x:f>
      </x:c>
      <x:c r="I45" s="140"/>
      <x:c r="J45" s="140"/>
      <x:c r="K45" s="121" t="str">
        <x:f>IF(H45="","",SUM(H45:J45))</x:f>
      </x:c>
      <x:c r="L45" s="121" t="str">
        <x:f>IF(OR(K45="",H45=""),"",K45-H45)</x:f>
      </x:c>
      <x:c r="M45" s="122"/>
    </x:row>
    <x:row r="46">
      <x:c r="A46" s="115"/>
      <x:c r="B46" s="116"/>
      <x:c r="C46" s="118"/>
      <x:c r="D46" s="117"/>
      <x:c r="E46" s="117"/>
      <x:c r="F46" s="139" t="str">
        <x:f>IF(OR(A46="",B46=""),"",SUMIFS('Registro AWS'!$H$6:$H$205,'Registro AWS'!$B$6:$B$205,B46,'Registro AWS'!$M$6:$M$205,A46))</x:f>
      </x:c>
      <x:c r="G46" s="120"/>
      <x:c r="H46" s="121" t="str">
        <x:f>IF(OR(F46="",G46=""),"",F46*G46)</x:f>
      </x:c>
      <x:c r="I46" s="140"/>
      <x:c r="J46" s="140"/>
      <x:c r="K46" s="121" t="str">
        <x:f>IF(H46="","",SUM(H46:J46))</x:f>
      </x:c>
      <x:c r="L46" s="121" t="str">
        <x:f>IF(OR(K46="",H46=""),"",K46-H46)</x:f>
      </x:c>
      <x:c r="M46" s="122"/>
    </x:row>
    <x:row r="47">
      <x:c r="A47" s="115"/>
      <x:c r="B47" s="116"/>
      <x:c r="C47" s="118"/>
      <x:c r="D47" s="117"/>
      <x:c r="E47" s="117"/>
      <x:c r="F47" s="139" t="str">
        <x:f>IF(OR(A47="",B47=""),"",SUMIFS('Registro AWS'!$H$6:$H$205,'Registro AWS'!$B$6:$B$205,B47,'Registro AWS'!$M$6:$M$205,A47))</x:f>
      </x:c>
      <x:c r="G47" s="120"/>
      <x:c r="H47" s="121" t="str">
        <x:f>IF(OR(F47="",G47=""),"",F47*G47)</x:f>
      </x:c>
      <x:c r="I47" s="140"/>
      <x:c r="J47" s="140"/>
      <x:c r="K47" s="121" t="str">
        <x:f>IF(H47="","",SUM(H47:J47))</x:f>
      </x:c>
      <x:c r="L47" s="121" t="str">
        <x:f>IF(OR(K47="",H47=""),"",K47-H47)</x:f>
      </x:c>
      <x:c r="M47" s="122"/>
    </x:row>
    <x:row r="48">
      <x:c r="A48" s="115"/>
      <x:c r="B48" s="116"/>
      <x:c r="C48" s="118"/>
      <x:c r="D48" s="117"/>
      <x:c r="E48" s="117"/>
      <x:c r="F48" s="139" t="str">
        <x:f>IF(OR(A48="",B48=""),"",SUMIFS('Registro AWS'!$H$6:$H$205,'Registro AWS'!$B$6:$B$205,B48,'Registro AWS'!$M$6:$M$205,A48))</x:f>
      </x:c>
      <x:c r="G48" s="120"/>
      <x:c r="H48" s="121" t="str">
        <x:f>IF(OR(F48="",G48=""),"",F48*G48)</x:f>
      </x:c>
      <x:c r="I48" s="140"/>
      <x:c r="J48" s="140"/>
      <x:c r="K48" s="121" t="str">
        <x:f>IF(H48="","",SUM(H48:J48))</x:f>
      </x:c>
      <x:c r="L48" s="121" t="str">
        <x:f>IF(OR(K48="",H48=""),"",K48-H48)</x:f>
      </x:c>
      <x:c r="M48" s="122"/>
    </x:row>
    <x:row r="49">
      <x:c r="A49" s="115"/>
      <x:c r="B49" s="116"/>
      <x:c r="C49" s="118"/>
      <x:c r="D49" s="117"/>
      <x:c r="E49" s="117"/>
      <x:c r="F49" s="139" t="str">
        <x:f>IF(OR(A49="",B49=""),"",SUMIFS('Registro AWS'!$H$6:$H$205,'Registro AWS'!$B$6:$B$205,B49,'Registro AWS'!$M$6:$M$205,A49))</x:f>
      </x:c>
      <x:c r="G49" s="120"/>
      <x:c r="H49" s="121" t="str">
        <x:f>IF(OR(F49="",G49=""),"",F49*G49)</x:f>
      </x:c>
      <x:c r="I49" s="140"/>
      <x:c r="J49" s="140"/>
      <x:c r="K49" s="121" t="str">
        <x:f>IF(H49="","",SUM(H49:J49))</x:f>
      </x:c>
      <x:c r="L49" s="121" t="str">
        <x:f>IF(OR(K49="",H49=""),"",K49-H49)</x:f>
      </x:c>
      <x:c r="M49" s="122"/>
    </x:row>
    <x:row r="50">
      <x:c r="A50" s="115"/>
      <x:c r="B50" s="116"/>
      <x:c r="C50" s="118"/>
      <x:c r="D50" s="117"/>
      <x:c r="E50" s="117"/>
      <x:c r="F50" s="139" t="str">
        <x:f>IF(OR(A50="",B50=""),"",SUMIFS('Registro AWS'!$H$6:$H$205,'Registro AWS'!$B$6:$B$205,B50,'Registro AWS'!$M$6:$M$205,A50))</x:f>
      </x:c>
      <x:c r="G50" s="120"/>
      <x:c r="H50" s="121" t="str">
        <x:f>IF(OR(F50="",G50=""),"",F50*G50)</x:f>
      </x:c>
      <x:c r="I50" s="140"/>
      <x:c r="J50" s="140"/>
      <x:c r="K50" s="121" t="str">
        <x:f>IF(H50="","",SUM(H50:J50))</x:f>
      </x:c>
      <x:c r="L50" s="121" t="str">
        <x:f>IF(OR(K50="",H50=""),"",K50-H50)</x:f>
      </x:c>
      <x:c r="M50" s="122"/>
    </x:row>
    <x:row r="51">
      <x:c r="A51" s="115"/>
      <x:c r="B51" s="116"/>
      <x:c r="C51" s="118"/>
      <x:c r="D51" s="117"/>
      <x:c r="E51" s="117"/>
      <x:c r="F51" s="139" t="str">
        <x:f>IF(OR(A51="",B51=""),"",SUMIFS('Registro AWS'!$H$6:$H$205,'Registro AWS'!$B$6:$B$205,B51,'Registro AWS'!$M$6:$M$205,A51))</x:f>
      </x:c>
      <x:c r="G51" s="120"/>
      <x:c r="H51" s="121" t="str">
        <x:f>IF(OR(F51="",G51=""),"",F51*G51)</x:f>
      </x:c>
      <x:c r="I51" s="140"/>
      <x:c r="J51" s="140"/>
      <x:c r="K51" s="121" t="str">
        <x:f>IF(H51="","",SUM(H51:J51))</x:f>
      </x:c>
      <x:c r="L51" s="121" t="str">
        <x:f>IF(OR(K51="",H51=""),"",K51-H51)</x:f>
      </x:c>
      <x:c r="M51" s="122"/>
    </x:row>
    <x:row r="52">
      <x:c r="A52" s="115"/>
      <x:c r="B52" s="116"/>
      <x:c r="C52" s="118"/>
      <x:c r="D52" s="117"/>
      <x:c r="E52" s="117"/>
      <x:c r="F52" s="139" t="str">
        <x:f>IF(OR(A52="",B52=""),"",SUMIFS('Registro AWS'!$H$6:$H$205,'Registro AWS'!$B$6:$B$205,B52,'Registro AWS'!$M$6:$M$205,A52))</x:f>
      </x:c>
      <x:c r="G52" s="120"/>
      <x:c r="H52" s="121" t="str">
        <x:f>IF(OR(F52="",G52=""),"",F52*G52)</x:f>
      </x:c>
      <x:c r="I52" s="140"/>
      <x:c r="J52" s="140"/>
      <x:c r="K52" s="121" t="str">
        <x:f>IF(H52="","",SUM(H52:J52))</x:f>
      </x:c>
      <x:c r="L52" s="121" t="str">
        <x:f>IF(OR(K52="",H52=""),"",K52-H52)</x:f>
      </x:c>
      <x:c r="M52" s="122"/>
    </x:row>
    <x:row r="53">
      <x:c r="A53" s="115"/>
      <x:c r="B53" s="116"/>
      <x:c r="C53" s="118"/>
      <x:c r="D53" s="117"/>
      <x:c r="E53" s="117"/>
      <x:c r="F53" s="139" t="str">
        <x:f>IF(OR(A53="",B53=""),"",SUMIFS('Registro AWS'!$H$6:$H$205,'Registro AWS'!$B$6:$B$205,B53,'Registro AWS'!$M$6:$M$205,A53))</x:f>
      </x:c>
      <x:c r="G53" s="120"/>
      <x:c r="H53" s="121" t="str">
        <x:f>IF(OR(F53="",G53=""),"",F53*G53)</x:f>
      </x:c>
      <x:c r="I53" s="140"/>
      <x:c r="J53" s="140"/>
      <x:c r="K53" s="121" t="str">
        <x:f>IF(H53="","",SUM(H53:J53))</x:f>
      </x:c>
      <x:c r="L53" s="121" t="str">
        <x:f>IF(OR(K53="",H53=""),"",K53-H53)</x:f>
      </x:c>
      <x:c r="M53" s="122"/>
    </x:row>
    <x:row r="54">
      <x:c r="A54" s="115"/>
      <x:c r="B54" s="116"/>
      <x:c r="C54" s="118"/>
      <x:c r="D54" s="117"/>
      <x:c r="E54" s="117"/>
      <x:c r="F54" s="139" t="str">
        <x:f>IF(OR(A54="",B54=""),"",SUMIFS('Registro AWS'!$H$6:$H$205,'Registro AWS'!$B$6:$B$205,B54,'Registro AWS'!$M$6:$M$205,A54))</x:f>
      </x:c>
      <x:c r="G54" s="120"/>
      <x:c r="H54" s="121" t="str">
        <x:f>IF(OR(F54="",G54=""),"",F54*G54)</x:f>
      </x:c>
      <x:c r="I54" s="140"/>
      <x:c r="J54" s="140"/>
      <x:c r="K54" s="121" t="str">
        <x:f>IF(H54="","",SUM(H54:J54))</x:f>
      </x:c>
      <x:c r="L54" s="121" t="str">
        <x:f>IF(OR(K54="",H54=""),"",K54-H54)</x:f>
      </x:c>
      <x:c r="M54" s="122"/>
    </x:row>
    <x:row r="55">
      <x:c r="A55" s="115"/>
      <x:c r="B55" s="116"/>
      <x:c r="C55" s="118"/>
      <x:c r="D55" s="117"/>
      <x:c r="E55" s="117"/>
      <x:c r="F55" s="139" t="str">
        <x:f>IF(OR(A55="",B55=""),"",SUMIFS('Registro AWS'!$H$6:$H$205,'Registro AWS'!$B$6:$B$205,B55,'Registro AWS'!$M$6:$M$205,A55))</x:f>
      </x:c>
      <x:c r="G55" s="120"/>
      <x:c r="H55" s="121" t="str">
        <x:f>IF(OR(F55="",G55=""),"",F55*G55)</x:f>
      </x:c>
      <x:c r="I55" s="140"/>
      <x:c r="J55" s="140"/>
      <x:c r="K55" s="121" t="str">
        <x:f>IF(H55="","",SUM(H55:J55))</x:f>
      </x:c>
      <x:c r="L55" s="121" t="str">
        <x:f>IF(OR(K55="",H55=""),"",K55-H55)</x:f>
      </x:c>
      <x:c r="M55" s="122"/>
    </x:row>
    <x:row r="56">
      <x:c r="A56" s="115"/>
      <x:c r="B56" s="116"/>
      <x:c r="C56" s="118"/>
      <x:c r="D56" s="117"/>
      <x:c r="E56" s="117"/>
      <x:c r="F56" s="139" t="str">
        <x:f>IF(OR(A56="",B56=""),"",SUMIFS('Registro AWS'!$H$6:$H$205,'Registro AWS'!$B$6:$B$205,B56,'Registro AWS'!$M$6:$M$205,A56))</x:f>
      </x:c>
      <x:c r="G56" s="120"/>
      <x:c r="H56" s="121" t="str">
        <x:f>IF(OR(F56="",G56=""),"",F56*G56)</x:f>
      </x:c>
      <x:c r="I56" s="140"/>
      <x:c r="J56" s="140"/>
      <x:c r="K56" s="121" t="str">
        <x:f>IF(H56="","",SUM(H56:J56))</x:f>
      </x:c>
      <x:c r="L56" s="121" t="str">
        <x:f>IF(OR(K56="",H56=""),"",K56-H56)</x:f>
      </x:c>
      <x:c r="M56" s="122"/>
    </x:row>
    <x:row r="57">
      <x:c r="A57" s="115"/>
      <x:c r="B57" s="116"/>
      <x:c r="C57" s="118"/>
      <x:c r="D57" s="117"/>
      <x:c r="E57" s="117"/>
      <x:c r="F57" s="139" t="str">
        <x:f>IF(OR(A57="",B57=""),"",SUMIFS('Registro AWS'!$H$6:$H$205,'Registro AWS'!$B$6:$B$205,B57,'Registro AWS'!$M$6:$M$205,A57))</x:f>
      </x:c>
      <x:c r="G57" s="120"/>
      <x:c r="H57" s="121" t="str">
        <x:f>IF(OR(F57="",G57=""),"",F57*G57)</x:f>
      </x:c>
      <x:c r="I57" s="140"/>
      <x:c r="J57" s="140"/>
      <x:c r="K57" s="121" t="str">
        <x:f>IF(H57="","",SUM(H57:J57))</x:f>
      </x:c>
      <x:c r="L57" s="121" t="str">
        <x:f>IF(OR(K57="",H57=""),"",K57-H57)</x:f>
      </x:c>
      <x:c r="M57" s="122"/>
    </x:row>
    <x:row r="58">
      <x:c r="A58" s="115"/>
      <x:c r="B58" s="116"/>
      <x:c r="C58" s="118"/>
      <x:c r="D58" s="117"/>
      <x:c r="E58" s="117"/>
      <x:c r="F58" s="139" t="str">
        <x:f>IF(OR(A58="",B58=""),"",SUMIFS('Registro AWS'!$H$6:$H$205,'Registro AWS'!$B$6:$B$205,B58,'Registro AWS'!$M$6:$M$205,A58))</x:f>
      </x:c>
      <x:c r="G58" s="120"/>
      <x:c r="H58" s="121" t="str">
        <x:f>IF(OR(F58="",G58=""),"",F58*G58)</x:f>
      </x:c>
      <x:c r="I58" s="140"/>
      <x:c r="J58" s="140"/>
      <x:c r="K58" s="121" t="str">
        <x:f>IF(H58="","",SUM(H58:J58))</x:f>
      </x:c>
      <x:c r="L58" s="121" t="str">
        <x:f>IF(OR(K58="",H58=""),"",K58-H58)</x:f>
      </x:c>
      <x:c r="M58" s="122"/>
    </x:row>
    <x:row r="59">
      <x:c r="A59" s="115"/>
      <x:c r="B59" s="116"/>
      <x:c r="C59" s="118"/>
      <x:c r="D59" s="117"/>
      <x:c r="E59" s="117"/>
      <x:c r="F59" s="139" t="str">
        <x:f>IF(OR(A59="",B59=""),"",SUMIFS('Registro AWS'!$H$6:$H$205,'Registro AWS'!$B$6:$B$205,B59,'Registro AWS'!$M$6:$M$205,A59))</x:f>
      </x:c>
      <x:c r="G59" s="120"/>
      <x:c r="H59" s="121" t="str">
        <x:f>IF(OR(F59="",G59=""),"",F59*G59)</x:f>
      </x:c>
      <x:c r="I59" s="140"/>
      <x:c r="J59" s="140"/>
      <x:c r="K59" s="121" t="str">
        <x:f>IF(H59="","",SUM(H59:J59))</x:f>
      </x:c>
      <x:c r="L59" s="121" t="str">
        <x:f>IF(OR(K59="",H59=""),"",K59-H59)</x:f>
      </x:c>
      <x:c r="M59" s="122"/>
    </x:row>
    <x:row r="60">
      <x:c r="A60" s="115"/>
      <x:c r="B60" s="116"/>
      <x:c r="C60" s="118"/>
      <x:c r="D60" s="117"/>
      <x:c r="E60" s="117"/>
      <x:c r="F60" s="139" t="str">
        <x:f>IF(OR(A60="",B60=""),"",SUMIFS('Registro AWS'!$H$6:$H$205,'Registro AWS'!$B$6:$B$205,B60,'Registro AWS'!$M$6:$M$205,A60))</x:f>
      </x:c>
      <x:c r="G60" s="120"/>
      <x:c r="H60" s="121" t="str">
        <x:f>IF(OR(F60="",G60=""),"",F60*G60)</x:f>
      </x:c>
      <x:c r="I60" s="140"/>
      <x:c r="J60" s="140"/>
      <x:c r="K60" s="121" t="str">
        <x:f>IF(H60="","",SUM(H60:J60))</x:f>
      </x:c>
      <x:c r="L60" s="121" t="str">
        <x:f>IF(OR(K60="",H60=""),"",K60-H60)</x:f>
      </x:c>
      <x:c r="M60" s="122"/>
    </x:row>
    <x:row r="61">
      <x:c r="A61" s="115"/>
      <x:c r="B61" s="116"/>
      <x:c r="C61" s="118"/>
      <x:c r="D61" s="117"/>
      <x:c r="E61" s="117"/>
      <x:c r="F61" s="139" t="str">
        <x:f>IF(OR(A61="",B61=""),"",SUMIFS('Registro AWS'!$H$6:$H$205,'Registro AWS'!$B$6:$B$205,B61,'Registro AWS'!$M$6:$M$205,A61))</x:f>
      </x:c>
      <x:c r="G61" s="120"/>
      <x:c r="H61" s="121" t="str">
        <x:f>IF(OR(F61="",G61=""),"",F61*G61)</x:f>
      </x:c>
      <x:c r="I61" s="140"/>
      <x:c r="J61" s="140"/>
      <x:c r="K61" s="121" t="str">
        <x:f>IF(H61="","",SUM(H61:J61))</x:f>
      </x:c>
      <x:c r="L61" s="121" t="str">
        <x:f>IF(OR(K61="",H61=""),"",K61-H61)</x:f>
      </x:c>
      <x:c r="M61" s="122"/>
    </x:row>
    <x:row r="62">
      <x:c r="A62" s="115"/>
      <x:c r="B62" s="116"/>
      <x:c r="C62" s="118"/>
      <x:c r="D62" s="117"/>
      <x:c r="E62" s="117"/>
      <x:c r="F62" s="139" t="str">
        <x:f>IF(OR(A62="",B62=""),"",SUMIFS('Registro AWS'!$H$6:$H$205,'Registro AWS'!$B$6:$B$205,B62,'Registro AWS'!$M$6:$M$205,A62))</x:f>
      </x:c>
      <x:c r="G62" s="120"/>
      <x:c r="H62" s="121" t="str">
        <x:f>IF(OR(F62="",G62=""),"",F62*G62)</x:f>
      </x:c>
      <x:c r="I62" s="140"/>
      <x:c r="J62" s="140"/>
      <x:c r="K62" s="121" t="str">
        <x:f>IF(H62="","",SUM(H62:J62))</x:f>
      </x:c>
      <x:c r="L62" s="121" t="str">
        <x:f>IF(OR(K62="",H62=""),"",K62-H62)</x:f>
      </x:c>
      <x:c r="M62" s="122"/>
    </x:row>
    <x:row r="63">
      <x:c r="A63" s="115"/>
      <x:c r="B63" s="116"/>
      <x:c r="C63" s="118"/>
      <x:c r="D63" s="117"/>
      <x:c r="E63" s="117"/>
      <x:c r="F63" s="139" t="str">
        <x:f>IF(OR(A63="",B63=""),"",SUMIFS('Registro AWS'!$H$6:$H$205,'Registro AWS'!$B$6:$B$205,B63,'Registro AWS'!$M$6:$M$205,A63))</x:f>
      </x:c>
      <x:c r="G63" s="120"/>
      <x:c r="H63" s="121" t="str">
        <x:f>IF(OR(F63="",G63=""),"",F63*G63)</x:f>
      </x:c>
      <x:c r="I63" s="140"/>
      <x:c r="J63" s="140"/>
      <x:c r="K63" s="121" t="str">
        <x:f>IF(H63="","",SUM(H63:J63))</x:f>
      </x:c>
      <x:c r="L63" s="121" t="str">
        <x:f>IF(OR(K63="",H63=""),"",K63-H63)</x:f>
      </x:c>
      <x:c r="M63" s="122"/>
    </x:row>
    <x:row r="64">
      <x:c r="A64" s="115"/>
      <x:c r="B64" s="116"/>
      <x:c r="C64" s="118"/>
      <x:c r="D64" s="117"/>
      <x:c r="E64" s="117"/>
      <x:c r="F64" s="139" t="str">
        <x:f>IF(OR(A64="",B64=""),"",SUMIFS('Registro AWS'!$H$6:$H$205,'Registro AWS'!$B$6:$B$205,B64,'Registro AWS'!$M$6:$M$205,A64))</x:f>
      </x:c>
      <x:c r="G64" s="120"/>
      <x:c r="H64" s="121" t="str">
        <x:f>IF(OR(F64="",G64=""),"",F64*G64)</x:f>
      </x:c>
      <x:c r="I64" s="140"/>
      <x:c r="J64" s="140"/>
      <x:c r="K64" s="121" t="str">
        <x:f>IF(H64="","",SUM(H64:J64))</x:f>
      </x:c>
      <x:c r="L64" s="121" t="str">
        <x:f>IF(OR(K64="",H64=""),"",K64-H64)</x:f>
      </x:c>
      <x:c r="M64" s="122"/>
    </x:row>
    <x:row r="65">
      <x:c r="A65" s="115"/>
      <x:c r="B65" s="116"/>
      <x:c r="C65" s="118"/>
      <x:c r="D65" s="117"/>
      <x:c r="E65" s="117"/>
      <x:c r="F65" s="139" t="str">
        <x:f>IF(OR(A65="",B65=""),"",SUMIFS('Registro AWS'!$H$6:$H$205,'Registro AWS'!$B$6:$B$205,B65,'Registro AWS'!$M$6:$M$205,A65))</x:f>
      </x:c>
      <x:c r="G65" s="120"/>
      <x:c r="H65" s="121" t="str">
        <x:f>IF(OR(F65="",G65=""),"",F65*G65)</x:f>
      </x:c>
      <x:c r="I65" s="140"/>
      <x:c r="J65" s="140"/>
      <x:c r="K65" s="121" t="str">
        <x:f>IF(H65="","",SUM(H65:J65))</x:f>
      </x:c>
      <x:c r="L65" s="121" t="str">
        <x:f>IF(OR(K65="",H65=""),"",K65-H65)</x:f>
      </x:c>
      <x:c r="M65" s="122"/>
    </x:row>
    <x:row r="66">
      <x:c r="A66" s="115"/>
      <x:c r="B66" s="116"/>
      <x:c r="C66" s="118"/>
      <x:c r="D66" s="117"/>
      <x:c r="E66" s="117"/>
      <x:c r="F66" s="139" t="str">
        <x:f>IF(OR(A66="",B66=""),"",SUMIFS('Registro AWS'!$H$6:$H$205,'Registro AWS'!$B$6:$B$205,B66,'Registro AWS'!$M$6:$M$205,A66))</x:f>
      </x:c>
      <x:c r="G66" s="120"/>
      <x:c r="H66" s="121" t="str">
        <x:f>IF(OR(F66="",G66=""),"",F66*G66)</x:f>
      </x:c>
      <x:c r="I66" s="140"/>
      <x:c r="J66" s="140"/>
      <x:c r="K66" s="121" t="str">
        <x:f>IF(H66="","",SUM(H66:J66))</x:f>
      </x:c>
      <x:c r="L66" s="121" t="str">
        <x:f>IF(OR(K66="",H66=""),"",K66-H66)</x:f>
      </x:c>
      <x:c r="M66" s="122"/>
    </x:row>
    <x:row r="67">
      <x:c r="A67" s="115"/>
      <x:c r="B67" s="116"/>
      <x:c r="C67" s="118"/>
      <x:c r="D67" s="117"/>
      <x:c r="E67" s="117"/>
      <x:c r="F67" s="139" t="str">
        <x:f>IF(OR(A67="",B67=""),"",SUMIFS('Registro AWS'!$H$6:$H$205,'Registro AWS'!$B$6:$B$205,B67,'Registro AWS'!$M$6:$M$205,A67))</x:f>
      </x:c>
      <x:c r="G67" s="120"/>
      <x:c r="H67" s="121" t="str">
        <x:f>IF(OR(F67="",G67=""),"",F67*G67)</x:f>
      </x:c>
      <x:c r="I67" s="140"/>
      <x:c r="J67" s="140"/>
      <x:c r="K67" s="121" t="str">
        <x:f>IF(H67="","",SUM(H67:J67))</x:f>
      </x:c>
      <x:c r="L67" s="121" t="str">
        <x:f>IF(OR(K67="",H67=""),"",K67-H67)</x:f>
      </x:c>
      <x:c r="M67" s="122"/>
    </x:row>
    <x:row r="68">
      <x:c r="A68" s="115"/>
      <x:c r="B68" s="116"/>
      <x:c r="C68" s="118"/>
      <x:c r="D68" s="117"/>
      <x:c r="E68" s="117"/>
      <x:c r="F68" s="139" t="str">
        <x:f>IF(OR(A68="",B68=""),"",SUMIFS('Registro AWS'!$H$6:$H$205,'Registro AWS'!$B$6:$B$205,B68,'Registro AWS'!$M$6:$M$205,A68))</x:f>
      </x:c>
      <x:c r="G68" s="120"/>
      <x:c r="H68" s="121" t="str">
        <x:f>IF(OR(F68="",G68=""),"",F68*G68)</x:f>
      </x:c>
      <x:c r="I68" s="140"/>
      <x:c r="J68" s="140"/>
      <x:c r="K68" s="121" t="str">
        <x:f>IF(H68="","",SUM(H68:J68))</x:f>
      </x:c>
      <x:c r="L68" s="121" t="str">
        <x:f>IF(OR(K68="",H68=""),"",K68-H68)</x:f>
      </x:c>
      <x:c r="M68" s="122"/>
    </x:row>
    <x:row r="69">
      <x:c r="A69" s="115"/>
      <x:c r="B69" s="116"/>
      <x:c r="C69" s="118"/>
      <x:c r="D69" s="117"/>
      <x:c r="E69" s="117"/>
      <x:c r="F69" s="139" t="str">
        <x:f>IF(OR(A69="",B69=""),"",SUMIFS('Registro AWS'!$H$6:$H$205,'Registro AWS'!$B$6:$B$205,B69,'Registro AWS'!$M$6:$M$205,A69))</x:f>
      </x:c>
      <x:c r="G69" s="120"/>
      <x:c r="H69" s="121" t="str">
        <x:f>IF(OR(F69="",G69=""),"",F69*G69)</x:f>
      </x:c>
      <x:c r="I69" s="140"/>
      <x:c r="J69" s="140"/>
      <x:c r="K69" s="121" t="str">
        <x:f>IF(H69="","",SUM(H69:J69))</x:f>
      </x:c>
      <x:c r="L69" s="121" t="str">
        <x:f>IF(OR(K69="",H69=""),"",K69-H69)</x:f>
      </x:c>
      <x:c r="M69" s="122"/>
    </x:row>
    <x:row r="70">
      <x:c r="A70" s="115"/>
      <x:c r="B70" s="116"/>
      <x:c r="C70" s="118"/>
      <x:c r="D70" s="117"/>
      <x:c r="E70" s="117"/>
      <x:c r="F70" s="139" t="str">
        <x:f>IF(OR(A70="",B70=""),"",SUMIFS('Registro AWS'!$H$6:$H$205,'Registro AWS'!$B$6:$B$205,B70,'Registro AWS'!$M$6:$M$205,A70))</x:f>
      </x:c>
      <x:c r="G70" s="120"/>
      <x:c r="H70" s="121" t="str">
        <x:f>IF(OR(F70="",G70=""),"",F70*G70)</x:f>
      </x:c>
      <x:c r="I70" s="140"/>
      <x:c r="J70" s="140"/>
      <x:c r="K70" s="121" t="str">
        <x:f>IF(H70="","",SUM(H70:J70))</x:f>
      </x:c>
      <x:c r="L70" s="121" t="str">
        <x:f>IF(OR(K70="",H70=""),"",K70-H70)</x:f>
      </x:c>
      <x:c r="M70" s="122"/>
    </x:row>
    <x:row r="71">
      <x:c r="A71" s="115"/>
      <x:c r="B71" s="116"/>
      <x:c r="C71" s="118"/>
      <x:c r="D71" s="117"/>
      <x:c r="E71" s="117"/>
      <x:c r="F71" s="139" t="str">
        <x:f>IF(OR(A71="",B71=""),"",SUMIFS('Registro AWS'!$H$6:$H$205,'Registro AWS'!$B$6:$B$205,B71,'Registro AWS'!$M$6:$M$205,A71))</x:f>
      </x:c>
      <x:c r="G71" s="120"/>
      <x:c r="H71" s="121" t="str">
        <x:f>IF(OR(F71="",G71=""),"",F71*G71)</x:f>
      </x:c>
      <x:c r="I71" s="140"/>
      <x:c r="J71" s="140"/>
      <x:c r="K71" s="121" t="str">
        <x:f>IF(H71="","",SUM(H71:J71))</x:f>
      </x:c>
      <x:c r="L71" s="121" t="str">
        <x:f>IF(OR(K71="",H71=""),"",K71-H71)</x:f>
      </x:c>
      <x:c r="M71" s="122"/>
    </x:row>
    <x:row r="72">
      <x:c r="A72" s="115"/>
      <x:c r="B72" s="116"/>
      <x:c r="C72" s="118"/>
      <x:c r="D72" s="117"/>
      <x:c r="E72" s="117"/>
      <x:c r="F72" s="139" t="str">
        <x:f>IF(OR(A72="",B72=""),"",SUMIFS('Registro AWS'!$H$6:$H$205,'Registro AWS'!$B$6:$B$205,B72,'Registro AWS'!$M$6:$M$205,A72))</x:f>
      </x:c>
      <x:c r="G72" s="120"/>
      <x:c r="H72" s="121" t="str">
        <x:f>IF(OR(F72="",G72=""),"",F72*G72)</x:f>
      </x:c>
      <x:c r="I72" s="140"/>
      <x:c r="J72" s="140"/>
      <x:c r="K72" s="121" t="str">
        <x:f>IF(H72="","",SUM(H72:J72))</x:f>
      </x:c>
      <x:c r="L72" s="121" t="str">
        <x:f>IF(OR(K72="",H72=""),"",K72-H72)</x:f>
      </x:c>
      <x:c r="M72" s="122"/>
    </x:row>
    <x:row r="73">
      <x:c r="A73" s="115"/>
      <x:c r="B73" s="116"/>
      <x:c r="C73" s="118"/>
      <x:c r="D73" s="117"/>
      <x:c r="E73" s="117"/>
      <x:c r="F73" s="139" t="str">
        <x:f>IF(OR(A73="",B73=""),"",SUMIFS('Registro AWS'!$H$6:$H$205,'Registro AWS'!$B$6:$B$205,B73,'Registro AWS'!$M$6:$M$205,A73))</x:f>
      </x:c>
      <x:c r="G73" s="120"/>
      <x:c r="H73" s="121" t="str">
        <x:f>IF(OR(F73="",G73=""),"",F73*G73)</x:f>
      </x:c>
      <x:c r="I73" s="140"/>
      <x:c r="J73" s="140"/>
      <x:c r="K73" s="121" t="str">
        <x:f>IF(H73="","",SUM(H73:J73))</x:f>
      </x:c>
      <x:c r="L73" s="121" t="str">
        <x:f>IF(OR(K73="",H73=""),"",K73-H73)</x:f>
      </x:c>
      <x:c r="M73" s="122"/>
    </x:row>
    <x:row r="74">
      <x:c r="A74" s="115"/>
      <x:c r="B74" s="116"/>
      <x:c r="C74" s="118"/>
      <x:c r="D74" s="117"/>
      <x:c r="E74" s="117"/>
      <x:c r="F74" s="139" t="str">
        <x:f>IF(OR(A74="",B74=""),"",SUMIFS('Registro AWS'!$H$6:$H$205,'Registro AWS'!$B$6:$B$205,B74,'Registro AWS'!$M$6:$M$205,A74))</x:f>
      </x:c>
      <x:c r="G74" s="120"/>
      <x:c r="H74" s="121" t="str">
        <x:f>IF(OR(F74="",G74=""),"",F74*G74)</x:f>
      </x:c>
      <x:c r="I74" s="140"/>
      <x:c r="J74" s="140"/>
      <x:c r="K74" s="121" t="str">
        <x:f>IF(H74="","",SUM(H74:J74))</x:f>
      </x:c>
      <x:c r="L74" s="121" t="str">
        <x:f>IF(OR(K74="",H74=""),"",K74-H74)</x:f>
      </x:c>
      <x:c r="M74" s="122"/>
    </x:row>
    <x:row r="75">
      <x:c r="A75" s="115"/>
      <x:c r="B75" s="116"/>
      <x:c r="C75" s="118"/>
      <x:c r="D75" s="117"/>
      <x:c r="E75" s="117"/>
      <x:c r="F75" s="139" t="str">
        <x:f>IF(OR(A75="",B75=""),"",SUMIFS('Registro AWS'!$H$6:$H$205,'Registro AWS'!$B$6:$B$205,B75,'Registro AWS'!$M$6:$M$205,A75))</x:f>
      </x:c>
      <x:c r="G75" s="120"/>
      <x:c r="H75" s="121" t="str">
        <x:f>IF(OR(F75="",G75=""),"",F75*G75)</x:f>
      </x:c>
      <x:c r="I75" s="140"/>
      <x:c r="J75" s="140"/>
      <x:c r="K75" s="121" t="str">
        <x:f>IF(H75="","",SUM(H75:J75))</x:f>
      </x:c>
      <x:c r="L75" s="121" t="str">
        <x:f>IF(OR(K75="",H75=""),"",K75-H75)</x:f>
      </x:c>
      <x:c r="M75" s="122"/>
    </x:row>
    <x:row r="76">
      <x:c r="A76" s="115"/>
      <x:c r="B76" s="116"/>
      <x:c r="C76" s="118"/>
      <x:c r="D76" s="117"/>
      <x:c r="E76" s="117"/>
      <x:c r="F76" s="139" t="str">
        <x:f>IF(OR(A76="",B76=""),"",SUMIFS('Registro AWS'!$H$6:$H$205,'Registro AWS'!$B$6:$B$205,B76,'Registro AWS'!$M$6:$M$205,A76))</x:f>
      </x:c>
      <x:c r="G76" s="120"/>
      <x:c r="H76" s="121" t="str">
        <x:f>IF(OR(F76="",G76=""),"",F76*G76)</x:f>
      </x:c>
      <x:c r="I76" s="140"/>
      <x:c r="J76" s="140"/>
      <x:c r="K76" s="121" t="str">
        <x:f>IF(H76="","",SUM(H76:J76))</x:f>
      </x:c>
      <x:c r="L76" s="121" t="str">
        <x:f>IF(OR(K76="",H76=""),"",K76-H76)</x:f>
      </x:c>
      <x:c r="M76" s="122"/>
    </x:row>
    <x:row r="77">
      <x:c r="A77" s="115"/>
      <x:c r="B77" s="116"/>
      <x:c r="C77" s="118"/>
      <x:c r="D77" s="117"/>
      <x:c r="E77" s="117"/>
      <x:c r="F77" s="139" t="str">
        <x:f>IF(OR(A77="",B77=""),"",SUMIFS('Registro AWS'!$H$6:$H$205,'Registro AWS'!$B$6:$B$205,B77,'Registro AWS'!$M$6:$M$205,A77))</x:f>
      </x:c>
      <x:c r="G77" s="120"/>
      <x:c r="H77" s="121" t="str">
        <x:f>IF(OR(F77="",G77=""),"",F77*G77)</x:f>
      </x:c>
      <x:c r="I77" s="140"/>
      <x:c r="J77" s="140"/>
      <x:c r="K77" s="121" t="str">
        <x:f>IF(H77="","",SUM(H77:J77))</x:f>
      </x:c>
      <x:c r="L77" s="121" t="str">
        <x:f>IF(OR(K77="",H77=""),"",K77-H77)</x:f>
      </x:c>
      <x:c r="M77" s="122"/>
    </x:row>
    <x:row r="78">
      <x:c r="A78" s="115"/>
      <x:c r="B78" s="116"/>
      <x:c r="C78" s="118"/>
      <x:c r="D78" s="117"/>
      <x:c r="E78" s="117"/>
      <x:c r="F78" s="139" t="str">
        <x:f>IF(OR(A78="",B78=""),"",SUMIFS('Registro AWS'!$H$6:$H$205,'Registro AWS'!$B$6:$B$205,B78,'Registro AWS'!$M$6:$M$205,A78))</x:f>
      </x:c>
      <x:c r="G78" s="120"/>
      <x:c r="H78" s="121" t="str">
        <x:f>IF(OR(F78="",G78=""),"",F78*G78)</x:f>
      </x:c>
      <x:c r="I78" s="140"/>
      <x:c r="J78" s="140"/>
      <x:c r="K78" s="121" t="str">
        <x:f>IF(H78="","",SUM(H78:J78))</x:f>
      </x:c>
      <x:c r="L78" s="121" t="str">
        <x:f>IF(OR(K78="",H78=""),"",K78-H78)</x:f>
      </x:c>
      <x:c r="M78" s="122"/>
    </x:row>
    <x:row r="79">
      <x:c r="A79" s="115"/>
      <x:c r="B79" s="116"/>
      <x:c r="C79" s="118"/>
      <x:c r="D79" s="117"/>
      <x:c r="E79" s="117"/>
      <x:c r="F79" s="139" t="str">
        <x:f>IF(OR(A79="",B79=""),"",SUMIFS('Registro AWS'!$H$6:$H$205,'Registro AWS'!$B$6:$B$205,B79,'Registro AWS'!$M$6:$M$205,A79))</x:f>
      </x:c>
      <x:c r="G79" s="120"/>
      <x:c r="H79" s="121" t="str">
        <x:f>IF(OR(F79="",G79=""),"",F79*G79)</x:f>
      </x:c>
      <x:c r="I79" s="140"/>
      <x:c r="J79" s="140"/>
      <x:c r="K79" s="121" t="str">
        <x:f>IF(H79="","",SUM(H79:J79))</x:f>
      </x:c>
      <x:c r="L79" s="121" t="str">
        <x:f>IF(OR(K79="",H79=""),"",K79-H79)</x:f>
      </x:c>
      <x:c r="M79" s="122"/>
    </x:row>
    <x:row r="80">
      <x:c r="A80" s="115"/>
      <x:c r="B80" s="116"/>
      <x:c r="C80" s="118"/>
      <x:c r="D80" s="117"/>
      <x:c r="E80" s="117"/>
      <x:c r="F80" s="139" t="str">
        <x:f>IF(OR(A80="",B80=""),"",SUMIFS('Registro AWS'!$H$6:$H$205,'Registro AWS'!$B$6:$B$205,B80,'Registro AWS'!$M$6:$M$205,A80))</x:f>
      </x:c>
      <x:c r="G80" s="120"/>
      <x:c r="H80" s="121" t="str">
        <x:f>IF(OR(F80="",G80=""),"",F80*G80)</x:f>
      </x:c>
      <x:c r="I80" s="140"/>
      <x:c r="J80" s="140"/>
      <x:c r="K80" s="121" t="str">
        <x:f>IF(H80="","",SUM(H80:J80))</x:f>
      </x:c>
      <x:c r="L80" s="121" t="str">
        <x:f>IF(OR(K80="",H80=""),"",K80-H80)</x:f>
      </x:c>
      <x:c r="M80" s="122"/>
    </x:row>
    <x:row r="81">
      <x:c r="A81" s="115"/>
      <x:c r="B81" s="116"/>
      <x:c r="C81" s="118"/>
      <x:c r="D81" s="117"/>
      <x:c r="E81" s="117"/>
      <x:c r="F81" s="139" t="str">
        <x:f>IF(OR(A81="",B81=""),"",SUMIFS('Registro AWS'!$H$6:$H$205,'Registro AWS'!$B$6:$B$205,B81,'Registro AWS'!$M$6:$M$205,A81))</x:f>
      </x:c>
      <x:c r="G81" s="120"/>
      <x:c r="H81" s="121" t="str">
        <x:f>IF(OR(F81="",G81=""),"",F81*G81)</x:f>
      </x:c>
      <x:c r="I81" s="140"/>
      <x:c r="J81" s="140"/>
      <x:c r="K81" s="121" t="str">
        <x:f>IF(H81="","",SUM(H81:J81))</x:f>
      </x:c>
      <x:c r="L81" s="121" t="str">
        <x:f>IF(OR(K81="",H81=""),"",K81-H81)</x:f>
      </x:c>
      <x:c r="M81" s="122"/>
    </x:row>
    <x:row r="82">
      <x:c r="A82" s="115"/>
      <x:c r="B82" s="116"/>
      <x:c r="C82" s="118"/>
      <x:c r="D82" s="117"/>
      <x:c r="E82" s="117"/>
      <x:c r="F82" s="139" t="str">
        <x:f>IF(OR(A82="",B82=""),"",SUMIFS('Registro AWS'!$H$6:$H$205,'Registro AWS'!$B$6:$B$205,B82,'Registro AWS'!$M$6:$M$205,A82))</x:f>
      </x:c>
      <x:c r="G82" s="120"/>
      <x:c r="H82" s="121" t="str">
        <x:f>IF(OR(F82="",G82=""),"",F82*G82)</x:f>
      </x:c>
      <x:c r="I82" s="140"/>
      <x:c r="J82" s="140"/>
      <x:c r="K82" s="121" t="str">
        <x:f>IF(H82="","",SUM(H82:J82))</x:f>
      </x:c>
      <x:c r="L82" s="121" t="str">
        <x:f>IF(OR(K82="",H82=""),"",K82-H82)</x:f>
      </x:c>
      <x:c r="M82" s="122"/>
    </x:row>
    <x:row r="83">
      <x:c r="A83" s="115"/>
      <x:c r="B83" s="116"/>
      <x:c r="C83" s="118"/>
      <x:c r="D83" s="117"/>
      <x:c r="E83" s="117"/>
      <x:c r="F83" s="139" t="str">
        <x:f>IF(OR(A83="",B83=""),"",SUMIFS('Registro AWS'!$H$6:$H$205,'Registro AWS'!$B$6:$B$205,B83,'Registro AWS'!$M$6:$M$205,A83))</x:f>
      </x:c>
      <x:c r="G83" s="120"/>
      <x:c r="H83" s="121" t="str">
        <x:f>IF(OR(F83="",G83=""),"",F83*G83)</x:f>
      </x:c>
      <x:c r="I83" s="140"/>
      <x:c r="J83" s="140"/>
      <x:c r="K83" s="121" t="str">
        <x:f>IF(H83="","",SUM(H83:J83))</x:f>
      </x:c>
      <x:c r="L83" s="121" t="str">
        <x:f>IF(OR(K83="",H83=""),"",K83-H83)</x:f>
      </x:c>
      <x:c r="M83" s="122"/>
    </x:row>
    <x:row r="84">
      <x:c r="A84" s="115"/>
      <x:c r="B84" s="116"/>
      <x:c r="C84" s="118"/>
      <x:c r="D84" s="117"/>
      <x:c r="E84" s="117"/>
      <x:c r="F84" s="139" t="str">
        <x:f>IF(OR(A84="",B84=""),"",SUMIFS('Registro AWS'!$H$6:$H$205,'Registro AWS'!$B$6:$B$205,B84,'Registro AWS'!$M$6:$M$205,A84))</x:f>
      </x:c>
      <x:c r="G84" s="120"/>
      <x:c r="H84" s="121" t="str">
        <x:f>IF(OR(F84="",G84=""),"",F84*G84)</x:f>
      </x:c>
      <x:c r="I84" s="140"/>
      <x:c r="J84" s="140"/>
      <x:c r="K84" s="121" t="str">
        <x:f>IF(H84="","",SUM(H84:J84))</x:f>
      </x:c>
      <x:c r="L84" s="121" t="str">
        <x:f>IF(OR(K84="",H84=""),"",K84-H84)</x:f>
      </x:c>
      <x:c r="M84" s="122"/>
    </x:row>
    <x:row r="85">
      <x:c r="A85" s="115"/>
      <x:c r="B85" s="116"/>
      <x:c r="C85" s="118"/>
      <x:c r="D85" s="117"/>
      <x:c r="E85" s="117"/>
      <x:c r="F85" s="139" t="str">
        <x:f>IF(OR(A85="",B85=""),"",SUMIFS('Registro AWS'!$H$6:$H$205,'Registro AWS'!$B$6:$B$205,B85,'Registro AWS'!$M$6:$M$205,A85))</x:f>
      </x:c>
      <x:c r="G85" s="120"/>
      <x:c r="H85" s="121" t="str">
        <x:f>IF(OR(F85="",G85=""),"",F85*G85)</x:f>
      </x:c>
      <x:c r="I85" s="140"/>
      <x:c r="J85" s="140"/>
      <x:c r="K85" s="121" t="str">
        <x:f>IF(H85="","",SUM(H85:J85))</x:f>
      </x:c>
      <x:c r="L85" s="121" t="str">
        <x:f>IF(OR(K85="",H85=""),"",K85-H85)</x:f>
      </x:c>
      <x:c r="M85" s="122"/>
    </x:row>
    <x:row r="86">
      <x:c r="A86" s="115"/>
      <x:c r="B86" s="116"/>
      <x:c r="C86" s="118"/>
      <x:c r="D86" s="117"/>
      <x:c r="E86" s="117"/>
      <x:c r="F86" s="139" t="str">
        <x:f>IF(OR(A86="",B86=""),"",SUMIFS('Registro AWS'!$H$6:$H$205,'Registro AWS'!$B$6:$B$205,B86,'Registro AWS'!$M$6:$M$205,A86))</x:f>
      </x:c>
      <x:c r="G86" s="120"/>
      <x:c r="H86" s="121" t="str">
        <x:f>IF(OR(F86="",G86=""),"",F86*G86)</x:f>
      </x:c>
      <x:c r="I86" s="140"/>
      <x:c r="J86" s="140"/>
      <x:c r="K86" s="121" t="str">
        <x:f>IF(H86="","",SUM(H86:J86))</x:f>
      </x:c>
      <x:c r="L86" s="121" t="str">
        <x:f>IF(OR(K86="",H86=""),"",K86-H86)</x:f>
      </x:c>
      <x:c r="M86" s="122"/>
    </x:row>
    <x:row r="87">
      <x:c r="A87" s="115"/>
      <x:c r="B87" s="116"/>
      <x:c r="C87" s="118"/>
      <x:c r="D87" s="117"/>
      <x:c r="E87" s="117"/>
      <x:c r="F87" s="139" t="str">
        <x:f>IF(OR(A87="",B87=""),"",SUMIFS('Registro AWS'!$H$6:$H$205,'Registro AWS'!$B$6:$B$205,B87,'Registro AWS'!$M$6:$M$205,A87))</x:f>
      </x:c>
      <x:c r="G87" s="120"/>
      <x:c r="H87" s="121" t="str">
        <x:f>IF(OR(F87="",G87=""),"",F87*G87)</x:f>
      </x:c>
      <x:c r="I87" s="140"/>
      <x:c r="J87" s="140"/>
      <x:c r="K87" s="121" t="str">
        <x:f>IF(H87="","",SUM(H87:J87))</x:f>
      </x:c>
      <x:c r="L87" s="121" t="str">
        <x:f>IF(OR(K87="",H87=""),"",K87-H87)</x:f>
      </x:c>
      <x:c r="M87" s="122"/>
    </x:row>
    <x:row r="88">
      <x:c r="A88" s="115"/>
      <x:c r="B88" s="116"/>
      <x:c r="C88" s="118"/>
      <x:c r="D88" s="117"/>
      <x:c r="E88" s="117"/>
      <x:c r="F88" s="139" t="str">
        <x:f>IF(OR(A88="",B88=""),"",SUMIFS('Registro AWS'!$H$6:$H$205,'Registro AWS'!$B$6:$B$205,B88,'Registro AWS'!$M$6:$M$205,A88))</x:f>
      </x:c>
      <x:c r="G88" s="120"/>
      <x:c r="H88" s="121" t="str">
        <x:f>IF(OR(F88="",G88=""),"",F88*G88)</x:f>
      </x:c>
      <x:c r="I88" s="140"/>
      <x:c r="J88" s="140"/>
      <x:c r="K88" s="121" t="str">
        <x:f>IF(H88="","",SUM(H88:J88))</x:f>
      </x:c>
      <x:c r="L88" s="121" t="str">
        <x:f>IF(OR(K88="",H88=""),"",K88-H88)</x:f>
      </x:c>
      <x:c r="M88" s="122"/>
    </x:row>
    <x:row r="89">
      <x:c r="A89" s="115"/>
      <x:c r="B89" s="116"/>
      <x:c r="C89" s="118"/>
      <x:c r="D89" s="117"/>
      <x:c r="E89" s="117"/>
      <x:c r="F89" s="139" t="str">
        <x:f>IF(OR(A89="",B89=""),"",SUMIFS('Registro AWS'!$H$6:$H$205,'Registro AWS'!$B$6:$B$205,B89,'Registro AWS'!$M$6:$M$205,A89))</x:f>
      </x:c>
      <x:c r="G89" s="120"/>
      <x:c r="H89" s="121" t="str">
        <x:f>IF(OR(F89="",G89=""),"",F89*G89)</x:f>
      </x:c>
      <x:c r="I89" s="140"/>
      <x:c r="J89" s="140"/>
      <x:c r="K89" s="121" t="str">
        <x:f>IF(H89="","",SUM(H89:J89))</x:f>
      </x:c>
      <x:c r="L89" s="121" t="str">
        <x:f>IF(OR(K89="",H89=""),"",K89-H89)</x:f>
      </x:c>
      <x:c r="M89" s="122"/>
    </x:row>
    <x:row r="90">
      <x:c r="A90" s="115"/>
      <x:c r="B90" s="116"/>
      <x:c r="C90" s="118"/>
      <x:c r="D90" s="117"/>
      <x:c r="E90" s="117"/>
      <x:c r="F90" s="139" t="str">
        <x:f>IF(OR(A90="",B90=""),"",SUMIFS('Registro AWS'!$H$6:$H$205,'Registro AWS'!$B$6:$B$205,B90,'Registro AWS'!$M$6:$M$205,A90))</x:f>
      </x:c>
      <x:c r="G90" s="120"/>
      <x:c r="H90" s="121" t="str">
        <x:f>IF(OR(F90="",G90=""),"",F90*G90)</x:f>
      </x:c>
      <x:c r="I90" s="140"/>
      <x:c r="J90" s="140"/>
      <x:c r="K90" s="121" t="str">
        <x:f>IF(H90="","",SUM(H90:J90))</x:f>
      </x:c>
      <x:c r="L90" s="121" t="str">
        <x:f>IF(OR(K90="",H90=""),"",K90-H90)</x:f>
      </x:c>
      <x:c r="M90" s="122"/>
    </x:row>
    <x:row r="91">
      <x:c r="A91" s="115"/>
      <x:c r="B91" s="116"/>
      <x:c r="C91" s="118"/>
      <x:c r="D91" s="117"/>
      <x:c r="E91" s="117"/>
      <x:c r="F91" s="139" t="str">
        <x:f>IF(OR(A91="",B91=""),"",SUMIFS('Registro AWS'!$H$6:$H$205,'Registro AWS'!$B$6:$B$205,B91,'Registro AWS'!$M$6:$M$205,A91))</x:f>
      </x:c>
      <x:c r="G91" s="120"/>
      <x:c r="H91" s="121" t="str">
        <x:f>IF(OR(F91="",G91=""),"",F91*G91)</x:f>
      </x:c>
      <x:c r="I91" s="140"/>
      <x:c r="J91" s="140"/>
      <x:c r="K91" s="121" t="str">
        <x:f>IF(H91="","",SUM(H91:J91))</x:f>
      </x:c>
      <x:c r="L91" s="121" t="str">
        <x:f>IF(OR(K91="",H91=""),"",K91-H91)</x:f>
      </x:c>
      <x:c r="M91" s="122"/>
    </x:row>
    <x:row r="92">
      <x:c r="A92" s="115"/>
      <x:c r="B92" s="116"/>
      <x:c r="C92" s="118"/>
      <x:c r="D92" s="117"/>
      <x:c r="E92" s="117"/>
      <x:c r="F92" s="139" t="str">
        <x:f>IF(OR(A92="",B92=""),"",SUMIFS('Registro AWS'!$H$6:$H$205,'Registro AWS'!$B$6:$B$205,B92,'Registro AWS'!$M$6:$M$205,A92))</x:f>
      </x:c>
      <x:c r="G92" s="120"/>
      <x:c r="H92" s="121" t="str">
        <x:f>IF(OR(F92="",G92=""),"",F92*G92)</x:f>
      </x:c>
      <x:c r="I92" s="140"/>
      <x:c r="J92" s="140"/>
      <x:c r="K92" s="121" t="str">
        <x:f>IF(H92="","",SUM(H92:J92))</x:f>
      </x:c>
      <x:c r="L92" s="121" t="str">
        <x:f>IF(OR(K92="",H92=""),"",K92-H92)</x:f>
      </x:c>
      <x:c r="M92" s="122"/>
    </x:row>
    <x:row r="93">
      <x:c r="A93" s="115"/>
      <x:c r="B93" s="116"/>
      <x:c r="C93" s="118"/>
      <x:c r="D93" s="117"/>
      <x:c r="E93" s="117"/>
      <x:c r="F93" s="139" t="str">
        <x:f>IF(OR(A93="",B93=""),"",SUMIFS('Registro AWS'!$H$6:$H$205,'Registro AWS'!$B$6:$B$205,B93,'Registro AWS'!$M$6:$M$205,A93))</x:f>
      </x:c>
      <x:c r="G93" s="120"/>
      <x:c r="H93" s="121" t="str">
        <x:f>IF(OR(F93="",G93=""),"",F93*G93)</x:f>
      </x:c>
      <x:c r="I93" s="140"/>
      <x:c r="J93" s="140"/>
      <x:c r="K93" s="121" t="str">
        <x:f>IF(H93="","",SUM(H93:J93))</x:f>
      </x:c>
      <x:c r="L93" s="121" t="str">
        <x:f>IF(OR(K93="",H93=""),"",K93-H93)</x:f>
      </x:c>
      <x:c r="M93" s="122"/>
    </x:row>
    <x:row r="94">
      <x:c r="A94" s="115"/>
      <x:c r="B94" s="116"/>
      <x:c r="C94" s="118"/>
      <x:c r="D94" s="117"/>
      <x:c r="E94" s="117"/>
      <x:c r="F94" s="139" t="str">
        <x:f>IF(OR(A94="",B94=""),"",SUMIFS('Registro AWS'!$H$6:$H$205,'Registro AWS'!$B$6:$B$205,B94,'Registro AWS'!$M$6:$M$205,A94))</x:f>
      </x:c>
      <x:c r="G94" s="120"/>
      <x:c r="H94" s="121" t="str">
        <x:f>IF(OR(F94="",G94=""),"",F94*G94)</x:f>
      </x:c>
      <x:c r="I94" s="140"/>
      <x:c r="J94" s="140"/>
      <x:c r="K94" s="121" t="str">
        <x:f>IF(H94="","",SUM(H94:J94))</x:f>
      </x:c>
      <x:c r="L94" s="121" t="str">
        <x:f>IF(OR(K94="",H94=""),"",K94-H94)</x:f>
      </x:c>
      <x:c r="M94" s="122"/>
    </x:row>
    <x:row r="95">
      <x:c r="A95" s="115"/>
      <x:c r="B95" s="116"/>
      <x:c r="C95" s="118"/>
      <x:c r="D95" s="117"/>
      <x:c r="E95" s="117"/>
      <x:c r="F95" s="139" t="str">
        <x:f>IF(OR(A95="",B95=""),"",SUMIFS('Registro AWS'!$H$6:$H$205,'Registro AWS'!$B$6:$B$205,B95,'Registro AWS'!$M$6:$M$205,A95))</x:f>
      </x:c>
      <x:c r="G95" s="120"/>
      <x:c r="H95" s="121" t="str">
        <x:f>IF(OR(F95="",G95=""),"",F95*G95)</x:f>
      </x:c>
      <x:c r="I95" s="140"/>
      <x:c r="J95" s="140"/>
      <x:c r="K95" s="121" t="str">
        <x:f>IF(H95="","",SUM(H95:J95))</x:f>
      </x:c>
      <x:c r="L95" s="121" t="str">
        <x:f>IF(OR(K95="",H95=""),"",K95-H95)</x:f>
      </x:c>
      <x:c r="M95" s="122"/>
    </x:row>
    <x:row r="96">
      <x:c r="A96" s="115"/>
      <x:c r="B96" s="116"/>
      <x:c r="C96" s="118"/>
      <x:c r="D96" s="117"/>
      <x:c r="E96" s="117"/>
      <x:c r="F96" s="139" t="str">
        <x:f>IF(OR(A96="",B96=""),"",SUMIFS('Registro AWS'!$H$6:$H$205,'Registro AWS'!$B$6:$B$205,B96,'Registro AWS'!$M$6:$M$205,A96))</x:f>
      </x:c>
      <x:c r="G96" s="120"/>
      <x:c r="H96" s="121" t="str">
        <x:f>IF(OR(F96="",G96=""),"",F96*G96)</x:f>
      </x:c>
      <x:c r="I96" s="140"/>
      <x:c r="J96" s="140"/>
      <x:c r="K96" s="121" t="str">
        <x:f>IF(H96="","",SUM(H96:J96))</x:f>
      </x:c>
      <x:c r="L96" s="121" t="str">
        <x:f>IF(OR(K96="",H96=""),"",K96-H96)</x:f>
      </x:c>
      <x:c r="M96" s="122"/>
    </x:row>
    <x:row r="97">
      <x:c r="A97" s="115"/>
      <x:c r="B97" s="116"/>
      <x:c r="C97" s="118"/>
      <x:c r="D97" s="117"/>
      <x:c r="E97" s="117"/>
      <x:c r="F97" s="139" t="str">
        <x:f>IF(OR(A97="",B97=""),"",SUMIFS('Registro AWS'!$H$6:$H$205,'Registro AWS'!$B$6:$B$205,B97,'Registro AWS'!$M$6:$M$205,A97))</x:f>
      </x:c>
      <x:c r="G97" s="120"/>
      <x:c r="H97" s="121" t="str">
        <x:f>IF(OR(F97="",G97=""),"",F97*G97)</x:f>
      </x:c>
      <x:c r="I97" s="140"/>
      <x:c r="J97" s="140"/>
      <x:c r="K97" s="121" t="str">
        <x:f>IF(H97="","",SUM(H97:J97))</x:f>
      </x:c>
      <x:c r="L97" s="121" t="str">
        <x:f>IF(OR(K97="",H97=""),"",K97-H97)</x:f>
      </x:c>
      <x:c r="M97" s="122"/>
    </x:row>
    <x:row r="98">
      <x:c r="A98" s="115"/>
      <x:c r="B98" s="116"/>
      <x:c r="C98" s="118"/>
      <x:c r="D98" s="117"/>
      <x:c r="E98" s="117"/>
      <x:c r="F98" s="139" t="str">
        <x:f>IF(OR(A98="",B98=""),"",SUMIFS('Registro AWS'!$H$6:$H$205,'Registro AWS'!$B$6:$B$205,B98,'Registro AWS'!$M$6:$M$205,A98))</x:f>
      </x:c>
      <x:c r="G98" s="120"/>
      <x:c r="H98" s="121" t="str">
        <x:f>IF(OR(F98="",G98=""),"",F98*G98)</x:f>
      </x:c>
      <x:c r="I98" s="140"/>
      <x:c r="J98" s="140"/>
      <x:c r="K98" s="121" t="str">
        <x:f>IF(H98="","",SUM(H98:J98))</x:f>
      </x:c>
      <x:c r="L98" s="121" t="str">
        <x:f>IF(OR(K98="",H98=""),"",K98-H98)</x:f>
      </x:c>
      <x:c r="M98" s="122"/>
    </x:row>
    <x:row r="99">
      <x:c r="A99" s="115"/>
      <x:c r="B99" s="116"/>
      <x:c r="C99" s="118"/>
      <x:c r="D99" s="117"/>
      <x:c r="E99" s="117"/>
      <x:c r="F99" s="139" t="str">
        <x:f>IF(OR(A99="",B99=""),"",SUMIFS('Registro AWS'!$H$6:$H$205,'Registro AWS'!$B$6:$B$205,B99,'Registro AWS'!$M$6:$M$205,A99))</x:f>
      </x:c>
      <x:c r="G99" s="120"/>
      <x:c r="H99" s="121" t="str">
        <x:f>IF(OR(F99="",G99=""),"",F99*G99)</x:f>
      </x:c>
      <x:c r="I99" s="140"/>
      <x:c r="J99" s="140"/>
      <x:c r="K99" s="121" t="str">
        <x:f>IF(H99="","",SUM(H99:J99))</x:f>
      </x:c>
      <x:c r="L99" s="121" t="str">
        <x:f>IF(OR(K99="",H99=""),"",K99-H99)</x:f>
      </x:c>
      <x:c r="M99" s="122"/>
    </x:row>
    <x:row r="100">
      <x:c r="A100" s="115"/>
      <x:c r="B100" s="116"/>
      <x:c r="C100" s="118"/>
      <x:c r="D100" s="117"/>
      <x:c r="E100" s="117"/>
      <x:c r="F100" s="139" t="str">
        <x:f>IF(OR(A100="",B100=""),"",SUMIFS('Registro AWS'!$H$6:$H$205,'Registro AWS'!$B$6:$B$205,B100,'Registro AWS'!$M$6:$M$205,A100))</x:f>
      </x:c>
      <x:c r="G100" s="120"/>
      <x:c r="H100" s="121" t="str">
        <x:f>IF(OR(F100="",G100=""),"",F100*G100)</x:f>
      </x:c>
      <x:c r="I100" s="140"/>
      <x:c r="J100" s="140"/>
      <x:c r="K100" s="121" t="str">
        <x:f>IF(H100="","",SUM(H100:J100))</x:f>
      </x:c>
      <x:c r="L100" s="121" t="str">
        <x:f>IF(OR(K100="",H100=""),"",K100-H100)</x:f>
      </x:c>
      <x:c r="M100" s="122"/>
    </x:row>
    <x:row r="101">
      <x:c r="A101" s="115"/>
      <x:c r="B101" s="116"/>
      <x:c r="C101" s="118"/>
      <x:c r="D101" s="117"/>
      <x:c r="E101" s="117"/>
      <x:c r="F101" s="139" t="str">
        <x:f>IF(OR(A101="",B101=""),"",SUMIFS('Registro AWS'!$H$6:$H$205,'Registro AWS'!$B$6:$B$205,B101,'Registro AWS'!$M$6:$M$205,A101))</x:f>
      </x:c>
      <x:c r="G101" s="120"/>
      <x:c r="H101" s="121" t="str">
        <x:f>IF(OR(F101="",G101=""),"",F101*G101)</x:f>
      </x:c>
      <x:c r="I101" s="140"/>
      <x:c r="J101" s="140"/>
      <x:c r="K101" s="121" t="str">
        <x:f>IF(H101="","",SUM(H101:J101))</x:f>
      </x:c>
      <x:c r="L101" s="121" t="str">
        <x:f>IF(OR(K101="",H101=""),"",K101-H101)</x:f>
      </x:c>
      <x:c r="M101" s="122"/>
    </x:row>
    <x:row r="102">
      <x:c r="A102" s="115"/>
      <x:c r="B102" s="116"/>
      <x:c r="C102" s="118"/>
      <x:c r="D102" s="117"/>
      <x:c r="E102" s="117"/>
      <x:c r="F102" s="139" t="str">
        <x:f>IF(OR(A102="",B102=""),"",SUMIFS('Registro AWS'!$H$6:$H$205,'Registro AWS'!$B$6:$B$205,B102,'Registro AWS'!$M$6:$M$205,A102))</x:f>
      </x:c>
      <x:c r="G102" s="120"/>
      <x:c r="H102" s="121" t="str">
        <x:f>IF(OR(F102="",G102=""),"",F102*G102)</x:f>
      </x:c>
      <x:c r="I102" s="140"/>
      <x:c r="J102" s="140"/>
      <x:c r="K102" s="121" t="str">
        <x:f>IF(H102="","",SUM(H102:J102))</x:f>
      </x:c>
      <x:c r="L102" s="121" t="str">
        <x:f>IF(OR(K102="",H102=""),"",K102-H102)</x:f>
      </x:c>
      <x:c r="M102" s="122"/>
    </x:row>
    <x:row r="103">
      <x:c r="A103" s="115"/>
      <x:c r="B103" s="116"/>
      <x:c r="C103" s="118"/>
      <x:c r="D103" s="117"/>
      <x:c r="E103" s="117"/>
      <x:c r="F103" s="139" t="str">
        <x:f>IF(OR(A103="",B103=""),"",SUMIFS('Registro AWS'!$H$6:$H$205,'Registro AWS'!$B$6:$B$205,B103,'Registro AWS'!$M$6:$M$205,A103))</x:f>
      </x:c>
      <x:c r="G103" s="120"/>
      <x:c r="H103" s="121" t="str">
        <x:f>IF(OR(F103="",G103=""),"",F103*G103)</x:f>
      </x:c>
      <x:c r="I103" s="140"/>
      <x:c r="J103" s="140"/>
      <x:c r="K103" s="121" t="str">
        <x:f>IF(H103="","",SUM(H103:J103))</x:f>
      </x:c>
      <x:c r="L103" s="121" t="str">
        <x:f>IF(OR(K103="",H103=""),"",K103-H103)</x:f>
      </x:c>
      <x:c r="M103" s="122"/>
    </x:row>
    <x:row r="104">
      <x:c r="A104" s="115"/>
      <x:c r="B104" s="116"/>
      <x:c r="C104" s="118"/>
      <x:c r="D104" s="117"/>
      <x:c r="E104" s="117"/>
      <x:c r="F104" s="139" t="str">
        <x:f>IF(OR(A104="",B104=""),"",SUMIFS('Registro AWS'!$H$6:$H$205,'Registro AWS'!$B$6:$B$205,B104,'Registro AWS'!$M$6:$M$205,A104))</x:f>
      </x:c>
      <x:c r="G104" s="120"/>
      <x:c r="H104" s="121" t="str">
        <x:f>IF(OR(F104="",G104=""),"",F104*G104)</x:f>
      </x:c>
      <x:c r="I104" s="140"/>
      <x:c r="J104" s="140"/>
      <x:c r="K104" s="121" t="str">
        <x:f>IF(H104="","",SUM(H104:J104))</x:f>
      </x:c>
      <x:c r="L104" s="121" t="str">
        <x:f>IF(OR(K104="",H104=""),"",K104-H104)</x:f>
      </x:c>
      <x:c r="M104" s="122"/>
    </x:row>
    <x:row r="105">
      <x:c r="A105" s="123"/>
      <x:c r="B105" s="124"/>
      <x:c r="C105" s="126"/>
      <x:c r="D105" s="125"/>
      <x:c r="E105" s="125"/>
      <x:c r="F105" s="141" t="str">
        <x:f>IF(OR(A105="",B105=""),"",SUMIFS('Registro AWS'!$H$6:$H$205,'Registro AWS'!$B$6:$B$205,B105,'Registro AWS'!$M$6:$M$205,A105))</x:f>
      </x:c>
      <x:c r="G105" s="128"/>
      <x:c r="H105" s="129" t="str">
        <x:f>IF(OR(F105="",G105=""),"",F105*G105)</x:f>
      </x:c>
      <x:c r="I105" s="142"/>
      <x:c r="J105" s="142"/>
      <x:c r="K105" s="129" t="str">
        <x:f>IF(H105="","",SUM(H105:J105))</x:f>
      </x:c>
      <x:c r="L105" s="129" t="str">
        <x:f>IF(OR(K105="",H105=""),"",K105-H105)</x:f>
      </x:c>
      <x:c r="M105" s="130"/>
    </x:row>
  </x:sheetData>
  <x:mergeCells>
    <x:mergeCell ref="A1:M1"/>
    <x:mergeCell ref="A2:L2"/>
    <x:mergeCell ref="A4:M4"/>
  </x:mergeCells>
  <x:conditionalFormatting sqref="M6:M105">
    <x:cfRule type="containsText" dxfId="2" priority="1" operator="containsText" text="Observado"/>
    <x:cfRule type="containsText" dxfId="3" priority="2" operator="containsText" text="Conciliado"/>
  </x:conditionalFormatting>
  <x:conditionalFormatting sqref="L6:L105">
    <x:cfRule type="cellIs" dxfId="4" priority="3" operator="notEqual">
      <x:formula>0.01</x:formula>
    </x:cfRule>
  </x:conditionalFormatting>
  <x:dataValidations count="1">
    <x:dataValidation type="list" sqref="M6:M105">
      <x:formula1>'Listas y Guía'!$F$5:$F$8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44" hidden="0" customWidth="1"/>
    <x:col min="4" max="4" width="40" hidden="0" customWidth="1"/>
    <x:col min="6" max="6" width="16" hidden="0" customWidth="1"/>
    <x:col min="7" max="7" width="16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28" customHeight="1">
      <x:c r="A1" s="64" t="str">
        <x:v>Gestión de costos AWS con tarjeta de crédito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</x:row>
    <x:row r="2" ht="22" customHeight="1">
      <x:c r="A2" s="66" t="str">
        <x:v>Plantilla mensual. Las celdas amarillas son las que se cargan manualmente; las azules contienen cálculos o listas de apoyo.</x:v>
      </x:c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</x:row>
    <x:row r="3">
      <x:c r="A3" s="65"/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4" ht="22" customHeight="1">
      <x:c r="A4" s="67" t="str">
        <x:v>Cómo usar esta plantilla</x:v>
      </x:c>
      <x:c r="B4" s="65"/>
      <x:c r="C4" s="65"/>
      <x:c r="D4" s="65"/>
      <x:c r="E4" s="65"/>
      <x:c r="F4" s="67" t="str">
        <x:v>Estados</x:v>
      </x:c>
      <x:c r="G4" s="65"/>
      <x:c r="H4" s="65"/>
      <x:c r="I4" s="67" t="str">
        <x:v>Catálogos editables</x:v>
      </x:c>
      <x:c r="J4" s="65"/>
      <x:c r="K4" s="65"/>
      <x:c r="L4" s="65"/>
    </x:row>
    <x:row r="5" ht="34" customHeight="1">
      <x:c r="A5" s="38" t="str">
        <x:v>1</x:v>
      </x:c>
      <x:c r="B5" s="30" t="str">
        <x:v>Registrar</x:v>
      </x:c>
      <x:c r="C5" s="30" t="str">
        <x:v>Copiá cada factura o cargo AWS en Registro AWS; un renglón por factura o ajuste.</x:v>
      </x:c>
      <x:c r="D5" s="31" t="str">
        <x:v>Conservá el PDF/CSV y pegá la ruta o URL en Fuentes.</x:v>
      </x:c>
      <x:c r="E5" s="65"/>
      <x:c r="F5" s="65" t="str">
        <x:v>Pendiente</x:v>
      </x:c>
      <x:c r="G5" s="65" t="str">
        <x:v>Estimado</x:v>
      </x:c>
      <x:c r="H5" s="65"/>
      <x:c r="I5" s="51" t="str">
        <x:v>Método de pago</x:v>
      </x:c>
      <x:c r="J5" s="52" t="str">
        <x:v>Entidad/tarjeta</x:v>
      </x:c>
      <x:c r="K5" s="52" t="str">
        <x:v>Moneda</x:v>
      </x:c>
      <x:c r="L5" s="53" t="str">
        <x:v>Centro de costo</x:v>
      </x:c>
    </x:row>
    <x:row r="6" ht="40" customHeight="1">
      <x:c r="A6" s="39" t="str">
        <x:v>2</x:v>
      </x:c>
      <x:c r="B6" s="33" t="str">
        <x:v>Conciliar</x:v>
      </x:c>
      <x:c r="C6" s="33" t="str">
        <x:v>Al llegar el resumen de tarjeta, completá Factura Tarjeta. La diferencia debe ser $0 o estar explicada.</x:v>
      </x:c>
      <x:c r="D6" s="34" t="str">
        <x:v>Registrá impuestos/percepciones por separado para que el costo AWS quede claro.</x:v>
      </x:c>
      <x:c r="E6" s="65"/>
      <x:c r="F6" s="65" t="str">
        <x:v>Conciliado</x:v>
      </x:c>
      <x:c r="G6" s="65" t="str">
        <x:v>Confirmado</x:v>
      </x:c>
      <x:c r="H6" s="65"/>
      <x:c r="I6" s="68" t="str">
        <x:v>Tarjeta crédito</x:v>
      </x:c>
      <x:c r="J6" s="69" t="str">
        <x:v>Completar</x:v>
      </x:c>
      <x:c r="K6" s="69" t="str">
        <x:v>USD</x:v>
      </x:c>
      <x:c r="L6" s="70" t="str">
        <x:v>Tecnología</x:v>
      </x:c>
    </x:row>
    <x:row r="7" ht="40" customHeight="1">
      <x:c r="A7" s="39" t="str">
        <x:v>3</x:v>
      </x:c>
      <x:c r="B7" s="33" t="str">
        <x:v>Revisar</x:v>
      </x:c>
      <x:c r="C7" s="33" t="str">
        <x:v>Usá Resumen para comparar el cargo AWS con lo liquidado en la tarjeta.</x:v>
      </x:c>
      <x:c r="D7" s="34" t="str">
        <x:v>Filtrá por período, cuenta AWS o centro de costo.</x:v>
      </x:c>
      <x:c r="E7" s="65"/>
      <x:c r="F7" s="65" t="str">
        <x:v>Pagado</x:v>
      </x:c>
      <x:c r="G7" s="65"/>
      <x:c r="H7" s="65"/>
      <x:c r="I7" s="71" t="str">
        <x:v>Tarjeta corporativa</x:v>
      </x:c>
      <x:c r="J7" s="72" t="str">
        <x:v>Completar</x:v>
      </x:c>
      <x:c r="K7" s="72" t="str">
        <x:v>ARS</x:v>
      </x:c>
      <x:c r="L7" s="73" t="str">
        <x:v>Producto</x:v>
      </x:c>
    </x:row>
    <x:row r="8" ht="40" customHeight="1">
      <x:c r="A8" s="39" t="str">
        <x:v>4</x:v>
      </x:c>
      <x:c r="B8" s="33" t="str">
        <x:v>Archivar</x:v>
      </x:c>
      <x:c r="C8" s="33" t="str">
        <x:v>Guardá factura AWS, resumen de tarjeta y comprobante de pago usando un ID común.</x:v>
      </x:c>
      <x:c r="D8" s="34" t="str">
        <x:v>Ej.: AWS-2026-08-001 y TC-2026-08.</x:v>
      </x:c>
      <x:c r="E8" s="65"/>
      <x:c r="F8" s="65" t="str">
        <x:v>Observado</x:v>
      </x:c>
      <x:c r="G8" s="65"/>
      <x:c r="H8" s="65"/>
      <x:c r="I8" s="71" t="str"/>
      <x:c r="J8" s="72" t="str"/>
      <x:c r="K8" s="72" t="str"/>
      <x:c r="L8" s="73" t="str">
        <x:v>Operaciones</x:v>
      </x:c>
    </x:row>
    <x:row r="9" ht="40" customHeight="1">
      <x:c r="A9" s="40" t="str">
        <x:v>Nota</x:v>
      </x:c>
      <x:c r="B9" s="36" t="str">
        <x:v>Tipo de cambio</x:v>
      </x:c>
      <x:c r="C9" s="36" t="str">
        <x:v>Usá el tipo de cambio efectivamente aplicado por la tarjeta; si aún no llegó el resumen, cargá una estimación.</x:v>
      </x:c>
      <x:c r="D9" s="37" t="str">
        <x:v>Indicá si el valor es Estimado o Confirmado.</x:v>
      </x:c>
      <x:c r="E9" s="65"/>
      <x:c r="F9" s="65"/>
      <x:c r="G9" s="65"/>
      <x:c r="H9" s="65"/>
      <x:c r="I9" s="71" t="str"/>
      <x:c r="J9" s="72" t="str"/>
      <x:c r="K9" s="72" t="str"/>
      <x:c r="L9" s="73" t="str">
        <x:v>Administración</x:v>
      </x:c>
    </x:row>
    <x:row r="10">
      <x:c r="I10" s="61" t="str"/>
      <x:c r="J10" s="62" t="str"/>
      <x:c r="K10" s="62" t="str"/>
      <x:c r="L10" s="63" t="str">
        <x:v>Otro</x:v>
      </x:c>
    </x:row>
  </x:sheetData>
  <x:mergeCells>
    <x:mergeCell ref="A1:L1"/>
    <x:mergeCell ref="A2:L2"/>
    <x:mergeCell ref="A4:D4"/>
    <x:mergeCell ref="F4:G4"/>
    <x:mergeCell ref="I4:L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18" hidden="0" customWidth="1"/>
    <x:col min="5" max="5" width="22" hidden="0" customWidth="1"/>
    <x:col min="6" max="6" width="15" hidden="0" customWidth="1"/>
    <x:col min="7" max="7" width="42" hidden="0" customWidth="1"/>
    <x:col min="8" max="8" width="20" hidden="0" customWidth="1"/>
    <x:col min="9" max="9" width="15" hidden="0" customWidth="1"/>
    <x:col min="10" max="10" width="28" hidden="0" customWidth="1"/>
  </x:cols>
  <x:sheetData>
    <x:row r="1" ht="28" customHeight="1">
      <x:c r="A1" s="4" t="str">
        <x:v>Índice de respaldos</x:v>
      </x:c>
    </x:row>
    <x:row r="2" ht="22" customHeight="1">
      <x:c r="A2" s="7" t="str">
        <x:v>No adjuntes datos sensibles: registrá la ubicación o URL interna de cada documento y el identificador de referencia.</x:v>
      </x:c>
    </x:row>
    <x:row r="4" ht="22" customHeight="1">
      <x:c r="A4" s="10" t="str">
        <x:v>Documentación de respaldo</x:v>
      </x:c>
    </x:row>
    <x:row r="5" ht="34" customHeight="1">
      <x:c r="A5" s="51" t="str">
        <x:v>ID fuente</x:v>
      </x:c>
      <x:c r="B5" s="52" t="str">
        <x:v>Período</x:v>
      </x:c>
      <x:c r="C5" s="52" t="str">
        <x:v>Tipo de documento</x:v>
      </x:c>
      <x:c r="D5" s="52" t="str">
        <x:v>ID relacionado</x:v>
      </x:c>
      <x:c r="E5" s="52" t="str">
        <x:v>Entidad emisora</x:v>
      </x:c>
      <x:c r="F5" s="52" t="str">
        <x:v>Fecha documento</x:v>
      </x:c>
      <x:c r="G5" s="52" t="str">
        <x:v>Ruta / URL</x:v>
      </x:c>
      <x:c r="H5" s="52" t="str">
        <x:v>Responsable</x:v>
      </x:c>
      <x:c r="I5" s="52" t="str">
        <x:v>Fecha de carga</x:v>
      </x:c>
      <x:c r="J5" s="53" t="str">
        <x:v>Notas</x:v>
      </x:c>
    </x:row>
    <x:row r="6">
      <x:c r="A6" s="107"/>
      <x:c r="B6" s="108"/>
      <x:c r="C6" s="110"/>
      <x:c r="D6" s="110"/>
      <x:c r="E6" s="110"/>
      <x:c r="F6" s="109"/>
      <x:c r="G6" s="110"/>
      <x:c r="H6" s="110"/>
      <x:c r="I6" s="109"/>
      <x:c r="J6" s="114"/>
    </x:row>
    <x:row r="7">
      <x:c r="A7" s="115"/>
      <x:c r="B7" s="116"/>
      <x:c r="C7" s="118"/>
      <x:c r="D7" s="118"/>
      <x:c r="E7" s="118"/>
      <x:c r="F7" s="117"/>
      <x:c r="G7" s="118"/>
      <x:c r="H7" s="118"/>
      <x:c r="I7" s="117"/>
      <x:c r="J7" s="122"/>
    </x:row>
    <x:row r="8">
      <x:c r="A8" s="115"/>
      <x:c r="B8" s="116"/>
      <x:c r="C8" s="118"/>
      <x:c r="D8" s="118"/>
      <x:c r="E8" s="118"/>
      <x:c r="F8" s="117"/>
      <x:c r="G8" s="118"/>
      <x:c r="H8" s="118"/>
      <x:c r="I8" s="117"/>
      <x:c r="J8" s="122"/>
    </x:row>
    <x:row r="9">
      <x:c r="A9" s="115"/>
      <x:c r="B9" s="116"/>
      <x:c r="C9" s="118"/>
      <x:c r="D9" s="118"/>
      <x:c r="E9" s="118"/>
      <x:c r="F9" s="117"/>
      <x:c r="G9" s="118"/>
      <x:c r="H9" s="118"/>
      <x:c r="I9" s="117"/>
      <x:c r="J9" s="122"/>
    </x:row>
    <x:row r="10">
      <x:c r="A10" s="115"/>
      <x:c r="B10" s="116"/>
      <x:c r="C10" s="118"/>
      <x:c r="D10" s="118"/>
      <x:c r="E10" s="118"/>
      <x:c r="F10" s="117"/>
      <x:c r="G10" s="118"/>
      <x:c r="H10" s="118"/>
      <x:c r="I10" s="117"/>
      <x:c r="J10" s="122"/>
    </x:row>
    <x:row r="11">
      <x:c r="A11" s="115"/>
      <x:c r="B11" s="116"/>
      <x:c r="C11" s="118"/>
      <x:c r="D11" s="118"/>
      <x:c r="E11" s="118"/>
      <x:c r="F11" s="117"/>
      <x:c r="G11" s="118"/>
      <x:c r="H11" s="118"/>
      <x:c r="I11" s="117"/>
      <x:c r="J11" s="122"/>
    </x:row>
    <x:row r="12">
      <x:c r="A12" s="115"/>
      <x:c r="B12" s="116"/>
      <x:c r="C12" s="118"/>
      <x:c r="D12" s="118"/>
      <x:c r="E12" s="118"/>
      <x:c r="F12" s="117"/>
      <x:c r="G12" s="118"/>
      <x:c r="H12" s="118"/>
      <x:c r="I12" s="117"/>
      <x:c r="J12" s="122"/>
    </x:row>
    <x:row r="13">
      <x:c r="A13" s="115"/>
      <x:c r="B13" s="116"/>
      <x:c r="C13" s="118"/>
      <x:c r="D13" s="118"/>
      <x:c r="E13" s="118"/>
      <x:c r="F13" s="117"/>
      <x:c r="G13" s="118"/>
      <x:c r="H13" s="118"/>
      <x:c r="I13" s="117"/>
      <x:c r="J13" s="122"/>
    </x:row>
    <x:row r="14">
      <x:c r="A14" s="115"/>
      <x:c r="B14" s="116"/>
      <x:c r="C14" s="118"/>
      <x:c r="D14" s="118"/>
      <x:c r="E14" s="118"/>
      <x:c r="F14" s="117"/>
      <x:c r="G14" s="118"/>
      <x:c r="H14" s="118"/>
      <x:c r="I14" s="117"/>
      <x:c r="J14" s="122"/>
    </x:row>
    <x:row r="15">
      <x:c r="A15" s="115"/>
      <x:c r="B15" s="116"/>
      <x:c r="C15" s="118"/>
      <x:c r="D15" s="118"/>
      <x:c r="E15" s="118"/>
      <x:c r="F15" s="117"/>
      <x:c r="G15" s="118"/>
      <x:c r="H15" s="118"/>
      <x:c r="I15" s="117"/>
      <x:c r="J15" s="122"/>
    </x:row>
    <x:row r="16">
      <x:c r="A16" s="115"/>
      <x:c r="B16" s="116"/>
      <x:c r="C16" s="118"/>
      <x:c r="D16" s="118"/>
      <x:c r="E16" s="118"/>
      <x:c r="F16" s="117"/>
      <x:c r="G16" s="118"/>
      <x:c r="H16" s="118"/>
      <x:c r="I16" s="117"/>
      <x:c r="J16" s="122"/>
    </x:row>
    <x:row r="17">
      <x:c r="A17" s="115"/>
      <x:c r="B17" s="116"/>
      <x:c r="C17" s="118"/>
      <x:c r="D17" s="118"/>
      <x:c r="E17" s="118"/>
      <x:c r="F17" s="117"/>
      <x:c r="G17" s="118"/>
      <x:c r="H17" s="118"/>
      <x:c r="I17" s="117"/>
      <x:c r="J17" s="122"/>
    </x:row>
    <x:row r="18">
      <x:c r="A18" s="115"/>
      <x:c r="B18" s="116"/>
      <x:c r="C18" s="118"/>
      <x:c r="D18" s="118"/>
      <x:c r="E18" s="118"/>
      <x:c r="F18" s="117"/>
      <x:c r="G18" s="118"/>
      <x:c r="H18" s="118"/>
      <x:c r="I18" s="117"/>
      <x:c r="J18" s="122"/>
    </x:row>
    <x:row r="19">
      <x:c r="A19" s="115"/>
      <x:c r="B19" s="116"/>
      <x:c r="C19" s="118"/>
      <x:c r="D19" s="118"/>
      <x:c r="E19" s="118"/>
      <x:c r="F19" s="117"/>
      <x:c r="G19" s="118"/>
      <x:c r="H19" s="118"/>
      <x:c r="I19" s="117"/>
      <x:c r="J19" s="122"/>
    </x:row>
    <x:row r="20">
      <x:c r="A20" s="115"/>
      <x:c r="B20" s="116"/>
      <x:c r="C20" s="118"/>
      <x:c r="D20" s="118"/>
      <x:c r="E20" s="118"/>
      <x:c r="F20" s="117"/>
      <x:c r="G20" s="118"/>
      <x:c r="H20" s="118"/>
      <x:c r="I20" s="117"/>
      <x:c r="J20" s="122"/>
    </x:row>
    <x:row r="21">
      <x:c r="A21" s="115"/>
      <x:c r="B21" s="116"/>
      <x:c r="C21" s="118"/>
      <x:c r="D21" s="118"/>
      <x:c r="E21" s="118"/>
      <x:c r="F21" s="117"/>
      <x:c r="G21" s="118"/>
      <x:c r="H21" s="118"/>
      <x:c r="I21" s="117"/>
      <x:c r="J21" s="122"/>
    </x:row>
    <x:row r="22">
      <x:c r="A22" s="115"/>
      <x:c r="B22" s="116"/>
      <x:c r="C22" s="118"/>
      <x:c r="D22" s="118"/>
      <x:c r="E22" s="118"/>
      <x:c r="F22" s="117"/>
      <x:c r="G22" s="118"/>
      <x:c r="H22" s="118"/>
      <x:c r="I22" s="117"/>
      <x:c r="J22" s="122"/>
    </x:row>
    <x:row r="23">
      <x:c r="A23" s="115"/>
      <x:c r="B23" s="116"/>
      <x:c r="C23" s="118"/>
      <x:c r="D23" s="118"/>
      <x:c r="E23" s="118"/>
      <x:c r="F23" s="117"/>
      <x:c r="G23" s="118"/>
      <x:c r="H23" s="118"/>
      <x:c r="I23" s="117"/>
      <x:c r="J23" s="122"/>
    </x:row>
    <x:row r="24">
      <x:c r="A24" s="115"/>
      <x:c r="B24" s="116"/>
      <x:c r="C24" s="118"/>
      <x:c r="D24" s="118"/>
      <x:c r="E24" s="118"/>
      <x:c r="F24" s="117"/>
      <x:c r="G24" s="118"/>
      <x:c r="H24" s="118"/>
      <x:c r="I24" s="117"/>
      <x:c r="J24" s="122"/>
    </x:row>
    <x:row r="25">
      <x:c r="A25" s="115"/>
      <x:c r="B25" s="116"/>
      <x:c r="C25" s="118"/>
      <x:c r="D25" s="118"/>
      <x:c r="E25" s="118"/>
      <x:c r="F25" s="117"/>
      <x:c r="G25" s="118"/>
      <x:c r="H25" s="118"/>
      <x:c r="I25" s="117"/>
      <x:c r="J25" s="122"/>
    </x:row>
    <x:row r="26">
      <x:c r="A26" s="115"/>
      <x:c r="B26" s="116"/>
      <x:c r="C26" s="118"/>
      <x:c r="D26" s="118"/>
      <x:c r="E26" s="118"/>
      <x:c r="F26" s="117"/>
      <x:c r="G26" s="118"/>
      <x:c r="H26" s="118"/>
      <x:c r="I26" s="117"/>
      <x:c r="J26" s="122"/>
    </x:row>
    <x:row r="27">
      <x:c r="A27" s="115"/>
      <x:c r="B27" s="116"/>
      <x:c r="C27" s="118"/>
      <x:c r="D27" s="118"/>
      <x:c r="E27" s="118"/>
      <x:c r="F27" s="117"/>
      <x:c r="G27" s="118"/>
      <x:c r="H27" s="118"/>
      <x:c r="I27" s="117"/>
      <x:c r="J27" s="122"/>
    </x:row>
    <x:row r="28">
      <x:c r="A28" s="115"/>
      <x:c r="B28" s="116"/>
      <x:c r="C28" s="118"/>
      <x:c r="D28" s="118"/>
      <x:c r="E28" s="118"/>
      <x:c r="F28" s="117"/>
      <x:c r="G28" s="118"/>
      <x:c r="H28" s="118"/>
      <x:c r="I28" s="117"/>
      <x:c r="J28" s="122"/>
    </x:row>
    <x:row r="29">
      <x:c r="A29" s="115"/>
      <x:c r="B29" s="116"/>
      <x:c r="C29" s="118"/>
      <x:c r="D29" s="118"/>
      <x:c r="E29" s="118"/>
      <x:c r="F29" s="117"/>
      <x:c r="G29" s="118"/>
      <x:c r="H29" s="118"/>
      <x:c r="I29" s="117"/>
      <x:c r="J29" s="122"/>
    </x:row>
    <x:row r="30">
      <x:c r="A30" s="115"/>
      <x:c r="B30" s="116"/>
      <x:c r="C30" s="118"/>
      <x:c r="D30" s="118"/>
      <x:c r="E30" s="118"/>
      <x:c r="F30" s="117"/>
      <x:c r="G30" s="118"/>
      <x:c r="H30" s="118"/>
      <x:c r="I30" s="117"/>
      <x:c r="J30" s="122"/>
    </x:row>
    <x:row r="31">
      <x:c r="A31" s="115"/>
      <x:c r="B31" s="116"/>
      <x:c r="C31" s="118"/>
      <x:c r="D31" s="118"/>
      <x:c r="E31" s="118"/>
      <x:c r="F31" s="117"/>
      <x:c r="G31" s="118"/>
      <x:c r="H31" s="118"/>
      <x:c r="I31" s="117"/>
      <x:c r="J31" s="122"/>
    </x:row>
    <x:row r="32">
      <x:c r="A32" s="115"/>
      <x:c r="B32" s="116"/>
      <x:c r="C32" s="118"/>
      <x:c r="D32" s="118"/>
      <x:c r="E32" s="118"/>
      <x:c r="F32" s="117"/>
      <x:c r="G32" s="118"/>
      <x:c r="H32" s="118"/>
      <x:c r="I32" s="117"/>
      <x:c r="J32" s="122"/>
    </x:row>
    <x:row r="33">
      <x:c r="A33" s="115"/>
      <x:c r="B33" s="116"/>
      <x:c r="C33" s="118"/>
      <x:c r="D33" s="118"/>
      <x:c r="E33" s="118"/>
      <x:c r="F33" s="117"/>
      <x:c r="G33" s="118"/>
      <x:c r="H33" s="118"/>
      <x:c r="I33" s="117"/>
      <x:c r="J33" s="122"/>
    </x:row>
    <x:row r="34">
      <x:c r="A34" s="115"/>
      <x:c r="B34" s="116"/>
      <x:c r="C34" s="118"/>
      <x:c r="D34" s="118"/>
      <x:c r="E34" s="118"/>
      <x:c r="F34" s="117"/>
      <x:c r="G34" s="118"/>
      <x:c r="H34" s="118"/>
      <x:c r="I34" s="117"/>
      <x:c r="J34" s="122"/>
    </x:row>
    <x:row r="35">
      <x:c r="A35" s="115"/>
      <x:c r="B35" s="116"/>
      <x:c r="C35" s="118"/>
      <x:c r="D35" s="118"/>
      <x:c r="E35" s="118"/>
      <x:c r="F35" s="117"/>
      <x:c r="G35" s="118"/>
      <x:c r="H35" s="118"/>
      <x:c r="I35" s="117"/>
      <x:c r="J35" s="122"/>
    </x:row>
    <x:row r="36">
      <x:c r="A36" s="115"/>
      <x:c r="B36" s="116"/>
      <x:c r="C36" s="118"/>
      <x:c r="D36" s="118"/>
      <x:c r="E36" s="118"/>
      <x:c r="F36" s="117"/>
      <x:c r="G36" s="118"/>
      <x:c r="H36" s="118"/>
      <x:c r="I36" s="117"/>
      <x:c r="J36" s="122"/>
    </x:row>
    <x:row r="37">
      <x:c r="A37" s="115"/>
      <x:c r="B37" s="116"/>
      <x:c r="C37" s="118"/>
      <x:c r="D37" s="118"/>
      <x:c r="E37" s="118"/>
      <x:c r="F37" s="117"/>
      <x:c r="G37" s="118"/>
      <x:c r="H37" s="118"/>
      <x:c r="I37" s="117"/>
      <x:c r="J37" s="122"/>
    </x:row>
    <x:row r="38">
      <x:c r="A38" s="115"/>
      <x:c r="B38" s="116"/>
      <x:c r="C38" s="118"/>
      <x:c r="D38" s="118"/>
      <x:c r="E38" s="118"/>
      <x:c r="F38" s="117"/>
      <x:c r="G38" s="118"/>
      <x:c r="H38" s="118"/>
      <x:c r="I38" s="117"/>
      <x:c r="J38" s="122"/>
    </x:row>
    <x:row r="39">
      <x:c r="A39" s="115"/>
      <x:c r="B39" s="116"/>
      <x:c r="C39" s="118"/>
      <x:c r="D39" s="118"/>
      <x:c r="E39" s="118"/>
      <x:c r="F39" s="117"/>
      <x:c r="G39" s="118"/>
      <x:c r="H39" s="118"/>
      <x:c r="I39" s="117"/>
      <x:c r="J39" s="122"/>
    </x:row>
    <x:row r="40">
      <x:c r="A40" s="115"/>
      <x:c r="B40" s="116"/>
      <x:c r="C40" s="118"/>
      <x:c r="D40" s="118"/>
      <x:c r="E40" s="118"/>
      <x:c r="F40" s="117"/>
      <x:c r="G40" s="118"/>
      <x:c r="H40" s="118"/>
      <x:c r="I40" s="117"/>
      <x:c r="J40" s="122"/>
    </x:row>
    <x:row r="41">
      <x:c r="A41" s="115"/>
      <x:c r="B41" s="116"/>
      <x:c r="C41" s="118"/>
      <x:c r="D41" s="118"/>
      <x:c r="E41" s="118"/>
      <x:c r="F41" s="117"/>
      <x:c r="G41" s="118"/>
      <x:c r="H41" s="118"/>
      <x:c r="I41" s="117"/>
      <x:c r="J41" s="122"/>
    </x:row>
    <x:row r="42">
      <x:c r="A42" s="115"/>
      <x:c r="B42" s="116"/>
      <x:c r="C42" s="118"/>
      <x:c r="D42" s="118"/>
      <x:c r="E42" s="118"/>
      <x:c r="F42" s="117"/>
      <x:c r="G42" s="118"/>
      <x:c r="H42" s="118"/>
      <x:c r="I42" s="117"/>
      <x:c r="J42" s="122"/>
    </x:row>
    <x:row r="43">
      <x:c r="A43" s="115"/>
      <x:c r="B43" s="116"/>
      <x:c r="C43" s="118"/>
      <x:c r="D43" s="118"/>
      <x:c r="E43" s="118"/>
      <x:c r="F43" s="117"/>
      <x:c r="G43" s="118"/>
      <x:c r="H43" s="118"/>
      <x:c r="I43" s="117"/>
      <x:c r="J43" s="122"/>
    </x:row>
    <x:row r="44">
      <x:c r="A44" s="115"/>
      <x:c r="B44" s="116"/>
      <x:c r="C44" s="118"/>
      <x:c r="D44" s="118"/>
      <x:c r="E44" s="118"/>
      <x:c r="F44" s="117"/>
      <x:c r="G44" s="118"/>
      <x:c r="H44" s="118"/>
      <x:c r="I44" s="117"/>
      <x:c r="J44" s="122"/>
    </x:row>
    <x:row r="45">
      <x:c r="A45" s="115"/>
      <x:c r="B45" s="116"/>
      <x:c r="C45" s="118"/>
      <x:c r="D45" s="118"/>
      <x:c r="E45" s="118"/>
      <x:c r="F45" s="117"/>
      <x:c r="G45" s="118"/>
      <x:c r="H45" s="118"/>
      <x:c r="I45" s="117"/>
      <x:c r="J45" s="122"/>
    </x:row>
    <x:row r="46">
      <x:c r="A46" s="115"/>
      <x:c r="B46" s="116"/>
      <x:c r="C46" s="118"/>
      <x:c r="D46" s="118"/>
      <x:c r="E46" s="118"/>
      <x:c r="F46" s="117"/>
      <x:c r="G46" s="118"/>
      <x:c r="H46" s="118"/>
      <x:c r="I46" s="117"/>
      <x:c r="J46" s="122"/>
    </x:row>
    <x:row r="47">
      <x:c r="A47" s="115"/>
      <x:c r="B47" s="116"/>
      <x:c r="C47" s="118"/>
      <x:c r="D47" s="118"/>
      <x:c r="E47" s="118"/>
      <x:c r="F47" s="117"/>
      <x:c r="G47" s="118"/>
      <x:c r="H47" s="118"/>
      <x:c r="I47" s="117"/>
      <x:c r="J47" s="122"/>
    </x:row>
    <x:row r="48">
      <x:c r="A48" s="115"/>
      <x:c r="B48" s="116"/>
      <x:c r="C48" s="118"/>
      <x:c r="D48" s="118"/>
      <x:c r="E48" s="118"/>
      <x:c r="F48" s="117"/>
      <x:c r="G48" s="118"/>
      <x:c r="H48" s="118"/>
      <x:c r="I48" s="117"/>
      <x:c r="J48" s="122"/>
    </x:row>
    <x:row r="49">
      <x:c r="A49" s="115"/>
      <x:c r="B49" s="116"/>
      <x:c r="C49" s="118"/>
      <x:c r="D49" s="118"/>
      <x:c r="E49" s="118"/>
      <x:c r="F49" s="117"/>
      <x:c r="G49" s="118"/>
      <x:c r="H49" s="118"/>
      <x:c r="I49" s="117"/>
      <x:c r="J49" s="122"/>
    </x:row>
    <x:row r="50">
      <x:c r="A50" s="115"/>
      <x:c r="B50" s="116"/>
      <x:c r="C50" s="118"/>
      <x:c r="D50" s="118"/>
      <x:c r="E50" s="118"/>
      <x:c r="F50" s="117"/>
      <x:c r="G50" s="118"/>
      <x:c r="H50" s="118"/>
      <x:c r="I50" s="117"/>
      <x:c r="J50" s="122"/>
    </x:row>
    <x:row r="51">
      <x:c r="A51" s="115"/>
      <x:c r="B51" s="116"/>
      <x:c r="C51" s="118"/>
      <x:c r="D51" s="118"/>
      <x:c r="E51" s="118"/>
      <x:c r="F51" s="117"/>
      <x:c r="G51" s="118"/>
      <x:c r="H51" s="118"/>
      <x:c r="I51" s="117"/>
      <x:c r="J51" s="122"/>
    </x:row>
    <x:row r="52">
      <x:c r="A52" s="115"/>
      <x:c r="B52" s="116"/>
      <x:c r="C52" s="118"/>
      <x:c r="D52" s="118"/>
      <x:c r="E52" s="118"/>
      <x:c r="F52" s="117"/>
      <x:c r="G52" s="118"/>
      <x:c r="H52" s="118"/>
      <x:c r="I52" s="117"/>
      <x:c r="J52" s="122"/>
    </x:row>
    <x:row r="53">
      <x:c r="A53" s="115"/>
      <x:c r="B53" s="116"/>
      <x:c r="C53" s="118"/>
      <x:c r="D53" s="118"/>
      <x:c r="E53" s="118"/>
      <x:c r="F53" s="117"/>
      <x:c r="G53" s="118"/>
      <x:c r="H53" s="118"/>
      <x:c r="I53" s="117"/>
      <x:c r="J53" s="122"/>
    </x:row>
    <x:row r="54">
      <x:c r="A54" s="115"/>
      <x:c r="B54" s="116"/>
      <x:c r="C54" s="118"/>
      <x:c r="D54" s="118"/>
      <x:c r="E54" s="118"/>
      <x:c r="F54" s="117"/>
      <x:c r="G54" s="118"/>
      <x:c r="H54" s="118"/>
      <x:c r="I54" s="117"/>
      <x:c r="J54" s="122"/>
    </x:row>
    <x:row r="55">
      <x:c r="A55" s="115"/>
      <x:c r="B55" s="116"/>
      <x:c r="C55" s="118"/>
      <x:c r="D55" s="118"/>
      <x:c r="E55" s="118"/>
      <x:c r="F55" s="117"/>
      <x:c r="G55" s="118"/>
      <x:c r="H55" s="118"/>
      <x:c r="I55" s="117"/>
      <x:c r="J55" s="122"/>
    </x:row>
    <x:row r="56">
      <x:c r="A56" s="115"/>
      <x:c r="B56" s="116"/>
      <x:c r="C56" s="118"/>
      <x:c r="D56" s="118"/>
      <x:c r="E56" s="118"/>
      <x:c r="F56" s="117"/>
      <x:c r="G56" s="118"/>
      <x:c r="H56" s="118"/>
      <x:c r="I56" s="117"/>
      <x:c r="J56" s="122"/>
    </x:row>
    <x:row r="57">
      <x:c r="A57" s="115"/>
      <x:c r="B57" s="116"/>
      <x:c r="C57" s="118"/>
      <x:c r="D57" s="118"/>
      <x:c r="E57" s="118"/>
      <x:c r="F57" s="117"/>
      <x:c r="G57" s="118"/>
      <x:c r="H57" s="118"/>
      <x:c r="I57" s="117"/>
      <x:c r="J57" s="122"/>
    </x:row>
    <x:row r="58">
      <x:c r="A58" s="115"/>
      <x:c r="B58" s="116"/>
      <x:c r="C58" s="118"/>
      <x:c r="D58" s="118"/>
      <x:c r="E58" s="118"/>
      <x:c r="F58" s="117"/>
      <x:c r="G58" s="118"/>
      <x:c r="H58" s="118"/>
      <x:c r="I58" s="117"/>
      <x:c r="J58" s="122"/>
    </x:row>
    <x:row r="59">
      <x:c r="A59" s="115"/>
      <x:c r="B59" s="116"/>
      <x:c r="C59" s="118"/>
      <x:c r="D59" s="118"/>
      <x:c r="E59" s="118"/>
      <x:c r="F59" s="117"/>
      <x:c r="G59" s="118"/>
      <x:c r="H59" s="118"/>
      <x:c r="I59" s="117"/>
      <x:c r="J59" s="122"/>
    </x:row>
    <x:row r="60">
      <x:c r="A60" s="115"/>
      <x:c r="B60" s="116"/>
      <x:c r="C60" s="118"/>
      <x:c r="D60" s="118"/>
      <x:c r="E60" s="118"/>
      <x:c r="F60" s="117"/>
      <x:c r="G60" s="118"/>
      <x:c r="H60" s="118"/>
      <x:c r="I60" s="117"/>
      <x:c r="J60" s="122"/>
    </x:row>
    <x:row r="61">
      <x:c r="A61" s="115"/>
      <x:c r="B61" s="116"/>
      <x:c r="C61" s="118"/>
      <x:c r="D61" s="118"/>
      <x:c r="E61" s="118"/>
      <x:c r="F61" s="117"/>
      <x:c r="G61" s="118"/>
      <x:c r="H61" s="118"/>
      <x:c r="I61" s="117"/>
      <x:c r="J61" s="122"/>
    </x:row>
    <x:row r="62">
      <x:c r="A62" s="115"/>
      <x:c r="B62" s="116"/>
      <x:c r="C62" s="118"/>
      <x:c r="D62" s="118"/>
      <x:c r="E62" s="118"/>
      <x:c r="F62" s="117"/>
      <x:c r="G62" s="118"/>
      <x:c r="H62" s="118"/>
      <x:c r="I62" s="117"/>
      <x:c r="J62" s="122"/>
    </x:row>
    <x:row r="63">
      <x:c r="A63" s="115"/>
      <x:c r="B63" s="116"/>
      <x:c r="C63" s="118"/>
      <x:c r="D63" s="118"/>
      <x:c r="E63" s="118"/>
      <x:c r="F63" s="117"/>
      <x:c r="G63" s="118"/>
      <x:c r="H63" s="118"/>
      <x:c r="I63" s="117"/>
      <x:c r="J63" s="122"/>
    </x:row>
    <x:row r="64">
      <x:c r="A64" s="115"/>
      <x:c r="B64" s="116"/>
      <x:c r="C64" s="118"/>
      <x:c r="D64" s="118"/>
      <x:c r="E64" s="118"/>
      <x:c r="F64" s="117"/>
      <x:c r="G64" s="118"/>
      <x:c r="H64" s="118"/>
      <x:c r="I64" s="117"/>
      <x:c r="J64" s="122"/>
    </x:row>
    <x:row r="65">
      <x:c r="A65" s="115"/>
      <x:c r="B65" s="116"/>
      <x:c r="C65" s="118"/>
      <x:c r="D65" s="118"/>
      <x:c r="E65" s="118"/>
      <x:c r="F65" s="117"/>
      <x:c r="G65" s="118"/>
      <x:c r="H65" s="118"/>
      <x:c r="I65" s="117"/>
      <x:c r="J65" s="122"/>
    </x:row>
    <x:row r="66">
      <x:c r="A66" s="115"/>
      <x:c r="B66" s="116"/>
      <x:c r="C66" s="118"/>
      <x:c r="D66" s="118"/>
      <x:c r="E66" s="118"/>
      <x:c r="F66" s="117"/>
      <x:c r="G66" s="118"/>
      <x:c r="H66" s="118"/>
      <x:c r="I66" s="117"/>
      <x:c r="J66" s="122"/>
    </x:row>
    <x:row r="67">
      <x:c r="A67" s="115"/>
      <x:c r="B67" s="116"/>
      <x:c r="C67" s="118"/>
      <x:c r="D67" s="118"/>
      <x:c r="E67" s="118"/>
      <x:c r="F67" s="117"/>
      <x:c r="G67" s="118"/>
      <x:c r="H67" s="118"/>
      <x:c r="I67" s="117"/>
      <x:c r="J67" s="122"/>
    </x:row>
    <x:row r="68">
      <x:c r="A68" s="115"/>
      <x:c r="B68" s="116"/>
      <x:c r="C68" s="118"/>
      <x:c r="D68" s="118"/>
      <x:c r="E68" s="118"/>
      <x:c r="F68" s="117"/>
      <x:c r="G68" s="118"/>
      <x:c r="H68" s="118"/>
      <x:c r="I68" s="117"/>
      <x:c r="J68" s="122"/>
    </x:row>
    <x:row r="69">
      <x:c r="A69" s="115"/>
      <x:c r="B69" s="116"/>
      <x:c r="C69" s="118"/>
      <x:c r="D69" s="118"/>
      <x:c r="E69" s="118"/>
      <x:c r="F69" s="117"/>
      <x:c r="G69" s="118"/>
      <x:c r="H69" s="118"/>
      <x:c r="I69" s="117"/>
      <x:c r="J69" s="122"/>
    </x:row>
    <x:row r="70">
      <x:c r="A70" s="115"/>
      <x:c r="B70" s="116"/>
      <x:c r="C70" s="118"/>
      <x:c r="D70" s="118"/>
      <x:c r="E70" s="118"/>
      <x:c r="F70" s="117"/>
      <x:c r="G70" s="118"/>
      <x:c r="H70" s="118"/>
      <x:c r="I70" s="117"/>
      <x:c r="J70" s="122"/>
    </x:row>
    <x:row r="71">
      <x:c r="A71" s="115"/>
      <x:c r="B71" s="116"/>
      <x:c r="C71" s="118"/>
      <x:c r="D71" s="118"/>
      <x:c r="E71" s="118"/>
      <x:c r="F71" s="117"/>
      <x:c r="G71" s="118"/>
      <x:c r="H71" s="118"/>
      <x:c r="I71" s="117"/>
      <x:c r="J71" s="122"/>
    </x:row>
    <x:row r="72">
      <x:c r="A72" s="115"/>
      <x:c r="B72" s="116"/>
      <x:c r="C72" s="118"/>
      <x:c r="D72" s="118"/>
      <x:c r="E72" s="118"/>
      <x:c r="F72" s="117"/>
      <x:c r="G72" s="118"/>
      <x:c r="H72" s="118"/>
      <x:c r="I72" s="117"/>
      <x:c r="J72" s="122"/>
    </x:row>
    <x:row r="73">
      <x:c r="A73" s="115"/>
      <x:c r="B73" s="116"/>
      <x:c r="C73" s="118"/>
      <x:c r="D73" s="118"/>
      <x:c r="E73" s="118"/>
      <x:c r="F73" s="117"/>
      <x:c r="G73" s="118"/>
      <x:c r="H73" s="118"/>
      <x:c r="I73" s="117"/>
      <x:c r="J73" s="122"/>
    </x:row>
    <x:row r="74">
      <x:c r="A74" s="115"/>
      <x:c r="B74" s="116"/>
      <x:c r="C74" s="118"/>
      <x:c r="D74" s="118"/>
      <x:c r="E74" s="118"/>
      <x:c r="F74" s="117"/>
      <x:c r="G74" s="118"/>
      <x:c r="H74" s="118"/>
      <x:c r="I74" s="117"/>
      <x:c r="J74" s="122"/>
    </x:row>
    <x:row r="75">
      <x:c r="A75" s="115"/>
      <x:c r="B75" s="116"/>
      <x:c r="C75" s="118"/>
      <x:c r="D75" s="118"/>
      <x:c r="E75" s="118"/>
      <x:c r="F75" s="117"/>
      <x:c r="G75" s="118"/>
      <x:c r="H75" s="118"/>
      <x:c r="I75" s="117"/>
      <x:c r="J75" s="122"/>
    </x:row>
    <x:row r="76">
      <x:c r="A76" s="115"/>
      <x:c r="B76" s="116"/>
      <x:c r="C76" s="118"/>
      <x:c r="D76" s="118"/>
      <x:c r="E76" s="118"/>
      <x:c r="F76" s="117"/>
      <x:c r="G76" s="118"/>
      <x:c r="H76" s="118"/>
      <x:c r="I76" s="117"/>
      <x:c r="J76" s="122"/>
    </x:row>
    <x:row r="77">
      <x:c r="A77" s="115"/>
      <x:c r="B77" s="116"/>
      <x:c r="C77" s="118"/>
      <x:c r="D77" s="118"/>
      <x:c r="E77" s="118"/>
      <x:c r="F77" s="117"/>
      <x:c r="G77" s="118"/>
      <x:c r="H77" s="118"/>
      <x:c r="I77" s="117"/>
      <x:c r="J77" s="122"/>
    </x:row>
    <x:row r="78">
      <x:c r="A78" s="115"/>
      <x:c r="B78" s="116"/>
      <x:c r="C78" s="118"/>
      <x:c r="D78" s="118"/>
      <x:c r="E78" s="118"/>
      <x:c r="F78" s="117"/>
      <x:c r="G78" s="118"/>
      <x:c r="H78" s="118"/>
      <x:c r="I78" s="117"/>
      <x:c r="J78" s="122"/>
    </x:row>
    <x:row r="79">
      <x:c r="A79" s="115"/>
      <x:c r="B79" s="116"/>
      <x:c r="C79" s="118"/>
      <x:c r="D79" s="118"/>
      <x:c r="E79" s="118"/>
      <x:c r="F79" s="117"/>
      <x:c r="G79" s="118"/>
      <x:c r="H79" s="118"/>
      <x:c r="I79" s="117"/>
      <x:c r="J79" s="122"/>
    </x:row>
    <x:row r="80">
      <x:c r="A80" s="115"/>
      <x:c r="B80" s="116"/>
      <x:c r="C80" s="118"/>
      <x:c r="D80" s="118"/>
      <x:c r="E80" s="118"/>
      <x:c r="F80" s="117"/>
      <x:c r="G80" s="118"/>
      <x:c r="H80" s="118"/>
      <x:c r="I80" s="117"/>
      <x:c r="J80" s="122"/>
    </x:row>
    <x:row r="81">
      <x:c r="A81" s="115"/>
      <x:c r="B81" s="116"/>
      <x:c r="C81" s="118"/>
      <x:c r="D81" s="118"/>
      <x:c r="E81" s="118"/>
      <x:c r="F81" s="117"/>
      <x:c r="G81" s="118"/>
      <x:c r="H81" s="118"/>
      <x:c r="I81" s="117"/>
      <x:c r="J81" s="122"/>
    </x:row>
    <x:row r="82">
      <x:c r="A82" s="115"/>
      <x:c r="B82" s="116"/>
      <x:c r="C82" s="118"/>
      <x:c r="D82" s="118"/>
      <x:c r="E82" s="118"/>
      <x:c r="F82" s="117"/>
      <x:c r="G82" s="118"/>
      <x:c r="H82" s="118"/>
      <x:c r="I82" s="117"/>
      <x:c r="J82" s="122"/>
    </x:row>
    <x:row r="83">
      <x:c r="A83" s="115"/>
      <x:c r="B83" s="116"/>
      <x:c r="C83" s="118"/>
      <x:c r="D83" s="118"/>
      <x:c r="E83" s="118"/>
      <x:c r="F83" s="117"/>
      <x:c r="G83" s="118"/>
      <x:c r="H83" s="118"/>
      <x:c r="I83" s="117"/>
      <x:c r="J83" s="122"/>
    </x:row>
    <x:row r="84">
      <x:c r="A84" s="115"/>
      <x:c r="B84" s="116"/>
      <x:c r="C84" s="118"/>
      <x:c r="D84" s="118"/>
      <x:c r="E84" s="118"/>
      <x:c r="F84" s="117"/>
      <x:c r="G84" s="118"/>
      <x:c r="H84" s="118"/>
      <x:c r="I84" s="117"/>
      <x:c r="J84" s="122"/>
    </x:row>
    <x:row r="85">
      <x:c r="A85" s="115"/>
      <x:c r="B85" s="116"/>
      <x:c r="C85" s="118"/>
      <x:c r="D85" s="118"/>
      <x:c r="E85" s="118"/>
      <x:c r="F85" s="117"/>
      <x:c r="G85" s="118"/>
      <x:c r="H85" s="118"/>
      <x:c r="I85" s="117"/>
      <x:c r="J85" s="122"/>
    </x:row>
    <x:row r="86">
      <x:c r="A86" s="115"/>
      <x:c r="B86" s="116"/>
      <x:c r="C86" s="118"/>
      <x:c r="D86" s="118"/>
      <x:c r="E86" s="118"/>
      <x:c r="F86" s="117"/>
      <x:c r="G86" s="118"/>
      <x:c r="H86" s="118"/>
      <x:c r="I86" s="117"/>
      <x:c r="J86" s="122"/>
    </x:row>
    <x:row r="87">
      <x:c r="A87" s="115"/>
      <x:c r="B87" s="116"/>
      <x:c r="C87" s="118"/>
      <x:c r="D87" s="118"/>
      <x:c r="E87" s="118"/>
      <x:c r="F87" s="117"/>
      <x:c r="G87" s="118"/>
      <x:c r="H87" s="118"/>
      <x:c r="I87" s="117"/>
      <x:c r="J87" s="122"/>
    </x:row>
    <x:row r="88">
      <x:c r="A88" s="115"/>
      <x:c r="B88" s="116"/>
      <x:c r="C88" s="118"/>
      <x:c r="D88" s="118"/>
      <x:c r="E88" s="118"/>
      <x:c r="F88" s="117"/>
      <x:c r="G88" s="118"/>
      <x:c r="H88" s="118"/>
      <x:c r="I88" s="117"/>
      <x:c r="J88" s="122"/>
    </x:row>
    <x:row r="89">
      <x:c r="A89" s="115"/>
      <x:c r="B89" s="116"/>
      <x:c r="C89" s="118"/>
      <x:c r="D89" s="118"/>
      <x:c r="E89" s="118"/>
      <x:c r="F89" s="117"/>
      <x:c r="G89" s="118"/>
      <x:c r="H89" s="118"/>
      <x:c r="I89" s="117"/>
      <x:c r="J89" s="122"/>
    </x:row>
    <x:row r="90">
      <x:c r="A90" s="115"/>
      <x:c r="B90" s="116"/>
      <x:c r="C90" s="118"/>
      <x:c r="D90" s="118"/>
      <x:c r="E90" s="118"/>
      <x:c r="F90" s="117"/>
      <x:c r="G90" s="118"/>
      <x:c r="H90" s="118"/>
      <x:c r="I90" s="117"/>
      <x:c r="J90" s="122"/>
    </x:row>
    <x:row r="91">
      <x:c r="A91" s="115"/>
      <x:c r="B91" s="116"/>
      <x:c r="C91" s="118"/>
      <x:c r="D91" s="118"/>
      <x:c r="E91" s="118"/>
      <x:c r="F91" s="117"/>
      <x:c r="G91" s="118"/>
      <x:c r="H91" s="118"/>
      <x:c r="I91" s="117"/>
      <x:c r="J91" s="122"/>
    </x:row>
    <x:row r="92">
      <x:c r="A92" s="115"/>
      <x:c r="B92" s="116"/>
      <x:c r="C92" s="118"/>
      <x:c r="D92" s="118"/>
      <x:c r="E92" s="118"/>
      <x:c r="F92" s="117"/>
      <x:c r="G92" s="118"/>
      <x:c r="H92" s="118"/>
      <x:c r="I92" s="117"/>
      <x:c r="J92" s="122"/>
    </x:row>
    <x:row r="93">
      <x:c r="A93" s="115"/>
      <x:c r="B93" s="116"/>
      <x:c r="C93" s="118"/>
      <x:c r="D93" s="118"/>
      <x:c r="E93" s="118"/>
      <x:c r="F93" s="117"/>
      <x:c r="G93" s="118"/>
      <x:c r="H93" s="118"/>
      <x:c r="I93" s="117"/>
      <x:c r="J93" s="122"/>
    </x:row>
    <x:row r="94">
      <x:c r="A94" s="115"/>
      <x:c r="B94" s="116"/>
      <x:c r="C94" s="118"/>
      <x:c r="D94" s="118"/>
      <x:c r="E94" s="118"/>
      <x:c r="F94" s="117"/>
      <x:c r="G94" s="118"/>
      <x:c r="H94" s="118"/>
      <x:c r="I94" s="117"/>
      <x:c r="J94" s="122"/>
    </x:row>
    <x:row r="95">
      <x:c r="A95" s="115"/>
      <x:c r="B95" s="116"/>
      <x:c r="C95" s="118"/>
      <x:c r="D95" s="118"/>
      <x:c r="E95" s="118"/>
      <x:c r="F95" s="117"/>
      <x:c r="G95" s="118"/>
      <x:c r="H95" s="118"/>
      <x:c r="I95" s="117"/>
      <x:c r="J95" s="122"/>
    </x:row>
    <x:row r="96">
      <x:c r="A96" s="115"/>
      <x:c r="B96" s="116"/>
      <x:c r="C96" s="118"/>
      <x:c r="D96" s="118"/>
      <x:c r="E96" s="118"/>
      <x:c r="F96" s="117"/>
      <x:c r="G96" s="118"/>
      <x:c r="H96" s="118"/>
      <x:c r="I96" s="117"/>
      <x:c r="J96" s="122"/>
    </x:row>
    <x:row r="97">
      <x:c r="A97" s="115"/>
      <x:c r="B97" s="116"/>
      <x:c r="C97" s="118"/>
      <x:c r="D97" s="118"/>
      <x:c r="E97" s="118"/>
      <x:c r="F97" s="117"/>
      <x:c r="G97" s="118"/>
      <x:c r="H97" s="118"/>
      <x:c r="I97" s="117"/>
      <x:c r="J97" s="122"/>
    </x:row>
    <x:row r="98">
      <x:c r="A98" s="115"/>
      <x:c r="B98" s="116"/>
      <x:c r="C98" s="118"/>
      <x:c r="D98" s="118"/>
      <x:c r="E98" s="118"/>
      <x:c r="F98" s="117"/>
      <x:c r="G98" s="118"/>
      <x:c r="H98" s="118"/>
      <x:c r="I98" s="117"/>
      <x:c r="J98" s="122"/>
    </x:row>
    <x:row r="99">
      <x:c r="A99" s="115"/>
      <x:c r="B99" s="116"/>
      <x:c r="C99" s="118"/>
      <x:c r="D99" s="118"/>
      <x:c r="E99" s="118"/>
      <x:c r="F99" s="117"/>
      <x:c r="G99" s="118"/>
      <x:c r="H99" s="118"/>
      <x:c r="I99" s="117"/>
      <x:c r="J99" s="122"/>
    </x:row>
    <x:row r="100">
      <x:c r="A100" s="115"/>
      <x:c r="B100" s="116"/>
      <x:c r="C100" s="118"/>
      <x:c r="D100" s="118"/>
      <x:c r="E100" s="118"/>
      <x:c r="F100" s="117"/>
      <x:c r="G100" s="118"/>
      <x:c r="H100" s="118"/>
      <x:c r="I100" s="117"/>
      <x:c r="J100" s="122"/>
    </x:row>
    <x:row r="101">
      <x:c r="A101" s="115"/>
      <x:c r="B101" s="116"/>
      <x:c r="C101" s="118"/>
      <x:c r="D101" s="118"/>
      <x:c r="E101" s="118"/>
      <x:c r="F101" s="117"/>
      <x:c r="G101" s="118"/>
      <x:c r="H101" s="118"/>
      <x:c r="I101" s="117"/>
      <x:c r="J101" s="122"/>
    </x:row>
    <x:row r="102">
      <x:c r="A102" s="115"/>
      <x:c r="B102" s="116"/>
      <x:c r="C102" s="118"/>
      <x:c r="D102" s="118"/>
      <x:c r="E102" s="118"/>
      <x:c r="F102" s="117"/>
      <x:c r="G102" s="118"/>
      <x:c r="H102" s="118"/>
      <x:c r="I102" s="117"/>
      <x:c r="J102" s="122"/>
    </x:row>
    <x:row r="103">
      <x:c r="A103" s="115"/>
      <x:c r="B103" s="116"/>
      <x:c r="C103" s="118"/>
      <x:c r="D103" s="118"/>
      <x:c r="E103" s="118"/>
      <x:c r="F103" s="117"/>
      <x:c r="G103" s="118"/>
      <x:c r="H103" s="118"/>
      <x:c r="I103" s="117"/>
      <x:c r="J103" s="122"/>
    </x:row>
    <x:row r="104">
      <x:c r="A104" s="115"/>
      <x:c r="B104" s="116"/>
      <x:c r="C104" s="118"/>
      <x:c r="D104" s="118"/>
      <x:c r="E104" s="118"/>
      <x:c r="F104" s="117"/>
      <x:c r="G104" s="118"/>
      <x:c r="H104" s="118"/>
      <x:c r="I104" s="117"/>
      <x:c r="J104" s="122"/>
    </x:row>
    <x:row r="105">
      <x:c r="A105" s="115"/>
      <x:c r="B105" s="116"/>
      <x:c r="C105" s="118"/>
      <x:c r="D105" s="118"/>
      <x:c r="E105" s="118"/>
      <x:c r="F105" s="117"/>
      <x:c r="G105" s="118"/>
      <x:c r="H105" s="118"/>
      <x:c r="I105" s="117"/>
      <x:c r="J105" s="122"/>
    </x:row>
    <x:row r="106">
      <x:c r="A106" s="115"/>
      <x:c r="B106" s="116"/>
      <x:c r="C106" s="118"/>
      <x:c r="D106" s="118"/>
      <x:c r="E106" s="118"/>
      <x:c r="F106" s="117"/>
      <x:c r="G106" s="118"/>
      <x:c r="H106" s="118"/>
      <x:c r="I106" s="117"/>
      <x:c r="J106" s="122"/>
    </x:row>
    <x:row r="107">
      <x:c r="A107" s="115"/>
      <x:c r="B107" s="116"/>
      <x:c r="C107" s="118"/>
      <x:c r="D107" s="118"/>
      <x:c r="E107" s="118"/>
      <x:c r="F107" s="117"/>
      <x:c r="G107" s="118"/>
      <x:c r="H107" s="118"/>
      <x:c r="I107" s="117"/>
      <x:c r="J107" s="122"/>
    </x:row>
    <x:row r="108">
      <x:c r="A108" s="115"/>
      <x:c r="B108" s="116"/>
      <x:c r="C108" s="118"/>
      <x:c r="D108" s="118"/>
      <x:c r="E108" s="118"/>
      <x:c r="F108" s="117"/>
      <x:c r="G108" s="118"/>
      <x:c r="H108" s="118"/>
      <x:c r="I108" s="117"/>
      <x:c r="J108" s="122"/>
    </x:row>
    <x:row r="109">
      <x:c r="A109" s="115"/>
      <x:c r="B109" s="116"/>
      <x:c r="C109" s="118"/>
      <x:c r="D109" s="118"/>
      <x:c r="E109" s="118"/>
      <x:c r="F109" s="117"/>
      <x:c r="G109" s="118"/>
      <x:c r="H109" s="118"/>
      <x:c r="I109" s="117"/>
      <x:c r="J109" s="122"/>
    </x:row>
    <x:row r="110">
      <x:c r="A110" s="115"/>
      <x:c r="B110" s="116"/>
      <x:c r="C110" s="118"/>
      <x:c r="D110" s="118"/>
      <x:c r="E110" s="118"/>
      <x:c r="F110" s="117"/>
      <x:c r="G110" s="118"/>
      <x:c r="H110" s="118"/>
      <x:c r="I110" s="117"/>
      <x:c r="J110" s="122"/>
    </x:row>
    <x:row r="111">
      <x:c r="A111" s="115"/>
      <x:c r="B111" s="116"/>
      <x:c r="C111" s="118"/>
      <x:c r="D111" s="118"/>
      <x:c r="E111" s="118"/>
      <x:c r="F111" s="117"/>
      <x:c r="G111" s="118"/>
      <x:c r="H111" s="118"/>
      <x:c r="I111" s="117"/>
      <x:c r="J111" s="122"/>
    </x:row>
    <x:row r="112">
      <x:c r="A112" s="115"/>
      <x:c r="B112" s="116"/>
      <x:c r="C112" s="118"/>
      <x:c r="D112" s="118"/>
      <x:c r="E112" s="118"/>
      <x:c r="F112" s="117"/>
      <x:c r="G112" s="118"/>
      <x:c r="H112" s="118"/>
      <x:c r="I112" s="117"/>
      <x:c r="J112" s="122"/>
    </x:row>
    <x:row r="113">
      <x:c r="A113" s="115"/>
      <x:c r="B113" s="116"/>
      <x:c r="C113" s="118"/>
      <x:c r="D113" s="118"/>
      <x:c r="E113" s="118"/>
      <x:c r="F113" s="117"/>
      <x:c r="G113" s="118"/>
      <x:c r="H113" s="118"/>
      <x:c r="I113" s="117"/>
      <x:c r="J113" s="122"/>
    </x:row>
    <x:row r="114">
      <x:c r="A114" s="115"/>
      <x:c r="B114" s="116"/>
      <x:c r="C114" s="118"/>
      <x:c r="D114" s="118"/>
      <x:c r="E114" s="118"/>
      <x:c r="F114" s="117"/>
      <x:c r="G114" s="118"/>
      <x:c r="H114" s="118"/>
      <x:c r="I114" s="117"/>
      <x:c r="J114" s="122"/>
    </x:row>
    <x:row r="115">
      <x:c r="A115" s="115"/>
      <x:c r="B115" s="116"/>
      <x:c r="C115" s="118"/>
      <x:c r="D115" s="118"/>
      <x:c r="E115" s="118"/>
      <x:c r="F115" s="117"/>
      <x:c r="G115" s="118"/>
      <x:c r="H115" s="118"/>
      <x:c r="I115" s="117"/>
      <x:c r="J115" s="122"/>
    </x:row>
    <x:row r="116">
      <x:c r="A116" s="115"/>
      <x:c r="B116" s="116"/>
      <x:c r="C116" s="118"/>
      <x:c r="D116" s="118"/>
      <x:c r="E116" s="118"/>
      <x:c r="F116" s="117"/>
      <x:c r="G116" s="118"/>
      <x:c r="H116" s="118"/>
      <x:c r="I116" s="117"/>
      <x:c r="J116" s="122"/>
    </x:row>
    <x:row r="117">
      <x:c r="A117" s="115"/>
      <x:c r="B117" s="116"/>
      <x:c r="C117" s="118"/>
      <x:c r="D117" s="118"/>
      <x:c r="E117" s="118"/>
      <x:c r="F117" s="117"/>
      <x:c r="G117" s="118"/>
      <x:c r="H117" s="118"/>
      <x:c r="I117" s="117"/>
      <x:c r="J117" s="122"/>
    </x:row>
    <x:row r="118">
      <x:c r="A118" s="115"/>
      <x:c r="B118" s="116"/>
      <x:c r="C118" s="118"/>
      <x:c r="D118" s="118"/>
      <x:c r="E118" s="118"/>
      <x:c r="F118" s="117"/>
      <x:c r="G118" s="118"/>
      <x:c r="H118" s="118"/>
      <x:c r="I118" s="117"/>
      <x:c r="J118" s="122"/>
    </x:row>
    <x:row r="119">
      <x:c r="A119" s="115"/>
      <x:c r="B119" s="116"/>
      <x:c r="C119" s="118"/>
      <x:c r="D119" s="118"/>
      <x:c r="E119" s="118"/>
      <x:c r="F119" s="117"/>
      <x:c r="G119" s="118"/>
      <x:c r="H119" s="118"/>
      <x:c r="I119" s="117"/>
      <x:c r="J119" s="122"/>
    </x:row>
    <x:row r="120">
      <x:c r="A120" s="115"/>
      <x:c r="B120" s="116"/>
      <x:c r="C120" s="118"/>
      <x:c r="D120" s="118"/>
      <x:c r="E120" s="118"/>
      <x:c r="F120" s="117"/>
      <x:c r="G120" s="118"/>
      <x:c r="H120" s="118"/>
      <x:c r="I120" s="117"/>
      <x:c r="J120" s="122"/>
    </x:row>
    <x:row r="121">
      <x:c r="A121" s="115"/>
      <x:c r="B121" s="116"/>
      <x:c r="C121" s="118"/>
      <x:c r="D121" s="118"/>
      <x:c r="E121" s="118"/>
      <x:c r="F121" s="117"/>
      <x:c r="G121" s="118"/>
      <x:c r="H121" s="118"/>
      <x:c r="I121" s="117"/>
      <x:c r="J121" s="122"/>
    </x:row>
    <x:row r="122">
      <x:c r="A122" s="115"/>
      <x:c r="B122" s="116"/>
      <x:c r="C122" s="118"/>
      <x:c r="D122" s="118"/>
      <x:c r="E122" s="118"/>
      <x:c r="F122" s="117"/>
      <x:c r="G122" s="118"/>
      <x:c r="H122" s="118"/>
      <x:c r="I122" s="117"/>
      <x:c r="J122" s="122"/>
    </x:row>
    <x:row r="123">
      <x:c r="A123" s="115"/>
      <x:c r="B123" s="116"/>
      <x:c r="C123" s="118"/>
      <x:c r="D123" s="118"/>
      <x:c r="E123" s="118"/>
      <x:c r="F123" s="117"/>
      <x:c r="G123" s="118"/>
      <x:c r="H123" s="118"/>
      <x:c r="I123" s="117"/>
      <x:c r="J123" s="122"/>
    </x:row>
    <x:row r="124">
      <x:c r="A124" s="115"/>
      <x:c r="B124" s="116"/>
      <x:c r="C124" s="118"/>
      <x:c r="D124" s="118"/>
      <x:c r="E124" s="118"/>
      <x:c r="F124" s="117"/>
      <x:c r="G124" s="118"/>
      <x:c r="H124" s="118"/>
      <x:c r="I124" s="117"/>
      <x:c r="J124" s="122"/>
    </x:row>
    <x:row r="125">
      <x:c r="A125" s="115"/>
      <x:c r="B125" s="116"/>
      <x:c r="C125" s="118"/>
      <x:c r="D125" s="118"/>
      <x:c r="E125" s="118"/>
      <x:c r="F125" s="117"/>
      <x:c r="G125" s="118"/>
      <x:c r="H125" s="118"/>
      <x:c r="I125" s="117"/>
      <x:c r="J125" s="122"/>
    </x:row>
    <x:row r="126">
      <x:c r="A126" s="115"/>
      <x:c r="B126" s="116"/>
      <x:c r="C126" s="118"/>
      <x:c r="D126" s="118"/>
      <x:c r="E126" s="118"/>
      <x:c r="F126" s="117"/>
      <x:c r="G126" s="118"/>
      <x:c r="H126" s="118"/>
      <x:c r="I126" s="117"/>
      <x:c r="J126" s="122"/>
    </x:row>
    <x:row r="127">
      <x:c r="A127" s="115"/>
      <x:c r="B127" s="116"/>
      <x:c r="C127" s="118"/>
      <x:c r="D127" s="118"/>
      <x:c r="E127" s="118"/>
      <x:c r="F127" s="117"/>
      <x:c r="G127" s="118"/>
      <x:c r="H127" s="118"/>
      <x:c r="I127" s="117"/>
      <x:c r="J127" s="122"/>
    </x:row>
    <x:row r="128">
      <x:c r="A128" s="115"/>
      <x:c r="B128" s="116"/>
      <x:c r="C128" s="118"/>
      <x:c r="D128" s="118"/>
      <x:c r="E128" s="118"/>
      <x:c r="F128" s="117"/>
      <x:c r="G128" s="118"/>
      <x:c r="H128" s="118"/>
      <x:c r="I128" s="117"/>
      <x:c r="J128" s="122"/>
    </x:row>
    <x:row r="129">
      <x:c r="A129" s="115"/>
      <x:c r="B129" s="116"/>
      <x:c r="C129" s="118"/>
      <x:c r="D129" s="118"/>
      <x:c r="E129" s="118"/>
      <x:c r="F129" s="117"/>
      <x:c r="G129" s="118"/>
      <x:c r="H129" s="118"/>
      <x:c r="I129" s="117"/>
      <x:c r="J129" s="122"/>
    </x:row>
    <x:row r="130">
      <x:c r="A130" s="115"/>
      <x:c r="B130" s="116"/>
      <x:c r="C130" s="118"/>
      <x:c r="D130" s="118"/>
      <x:c r="E130" s="118"/>
      <x:c r="F130" s="117"/>
      <x:c r="G130" s="118"/>
      <x:c r="H130" s="118"/>
      <x:c r="I130" s="117"/>
      <x:c r="J130" s="122"/>
    </x:row>
    <x:row r="131">
      <x:c r="A131" s="115"/>
      <x:c r="B131" s="116"/>
      <x:c r="C131" s="118"/>
      <x:c r="D131" s="118"/>
      <x:c r="E131" s="118"/>
      <x:c r="F131" s="117"/>
      <x:c r="G131" s="118"/>
      <x:c r="H131" s="118"/>
      <x:c r="I131" s="117"/>
      <x:c r="J131" s="122"/>
    </x:row>
    <x:row r="132">
      <x:c r="A132" s="115"/>
      <x:c r="B132" s="116"/>
      <x:c r="C132" s="118"/>
      <x:c r="D132" s="118"/>
      <x:c r="E132" s="118"/>
      <x:c r="F132" s="117"/>
      <x:c r="G132" s="118"/>
      <x:c r="H132" s="118"/>
      <x:c r="I132" s="117"/>
      <x:c r="J132" s="122"/>
    </x:row>
    <x:row r="133">
      <x:c r="A133" s="115"/>
      <x:c r="B133" s="116"/>
      <x:c r="C133" s="118"/>
      <x:c r="D133" s="118"/>
      <x:c r="E133" s="118"/>
      <x:c r="F133" s="117"/>
      <x:c r="G133" s="118"/>
      <x:c r="H133" s="118"/>
      <x:c r="I133" s="117"/>
      <x:c r="J133" s="122"/>
    </x:row>
    <x:row r="134">
      <x:c r="A134" s="115"/>
      <x:c r="B134" s="116"/>
      <x:c r="C134" s="118"/>
      <x:c r="D134" s="118"/>
      <x:c r="E134" s="118"/>
      <x:c r="F134" s="117"/>
      <x:c r="G134" s="118"/>
      <x:c r="H134" s="118"/>
      <x:c r="I134" s="117"/>
      <x:c r="J134" s="122"/>
    </x:row>
    <x:row r="135">
      <x:c r="A135" s="115"/>
      <x:c r="B135" s="116"/>
      <x:c r="C135" s="118"/>
      <x:c r="D135" s="118"/>
      <x:c r="E135" s="118"/>
      <x:c r="F135" s="117"/>
      <x:c r="G135" s="118"/>
      <x:c r="H135" s="118"/>
      <x:c r="I135" s="117"/>
      <x:c r="J135" s="122"/>
    </x:row>
    <x:row r="136">
      <x:c r="A136" s="115"/>
      <x:c r="B136" s="116"/>
      <x:c r="C136" s="118"/>
      <x:c r="D136" s="118"/>
      <x:c r="E136" s="118"/>
      <x:c r="F136" s="117"/>
      <x:c r="G136" s="118"/>
      <x:c r="H136" s="118"/>
      <x:c r="I136" s="117"/>
      <x:c r="J136" s="122"/>
    </x:row>
    <x:row r="137">
      <x:c r="A137" s="115"/>
      <x:c r="B137" s="116"/>
      <x:c r="C137" s="118"/>
      <x:c r="D137" s="118"/>
      <x:c r="E137" s="118"/>
      <x:c r="F137" s="117"/>
      <x:c r="G137" s="118"/>
      <x:c r="H137" s="118"/>
      <x:c r="I137" s="117"/>
      <x:c r="J137" s="122"/>
    </x:row>
    <x:row r="138">
      <x:c r="A138" s="115"/>
      <x:c r="B138" s="116"/>
      <x:c r="C138" s="118"/>
      <x:c r="D138" s="118"/>
      <x:c r="E138" s="118"/>
      <x:c r="F138" s="117"/>
      <x:c r="G138" s="118"/>
      <x:c r="H138" s="118"/>
      <x:c r="I138" s="117"/>
      <x:c r="J138" s="122"/>
    </x:row>
    <x:row r="139">
      <x:c r="A139" s="115"/>
      <x:c r="B139" s="116"/>
      <x:c r="C139" s="118"/>
      <x:c r="D139" s="118"/>
      <x:c r="E139" s="118"/>
      <x:c r="F139" s="117"/>
      <x:c r="G139" s="118"/>
      <x:c r="H139" s="118"/>
      <x:c r="I139" s="117"/>
      <x:c r="J139" s="122"/>
    </x:row>
    <x:row r="140">
      <x:c r="A140" s="115"/>
      <x:c r="B140" s="116"/>
      <x:c r="C140" s="118"/>
      <x:c r="D140" s="118"/>
      <x:c r="E140" s="118"/>
      <x:c r="F140" s="117"/>
      <x:c r="G140" s="118"/>
      <x:c r="H140" s="118"/>
      <x:c r="I140" s="117"/>
      <x:c r="J140" s="122"/>
    </x:row>
    <x:row r="141">
      <x:c r="A141" s="115"/>
      <x:c r="B141" s="116"/>
      <x:c r="C141" s="118"/>
      <x:c r="D141" s="118"/>
      <x:c r="E141" s="118"/>
      <x:c r="F141" s="117"/>
      <x:c r="G141" s="118"/>
      <x:c r="H141" s="118"/>
      <x:c r="I141" s="117"/>
      <x:c r="J141" s="122"/>
    </x:row>
    <x:row r="142">
      <x:c r="A142" s="115"/>
      <x:c r="B142" s="116"/>
      <x:c r="C142" s="118"/>
      <x:c r="D142" s="118"/>
      <x:c r="E142" s="118"/>
      <x:c r="F142" s="117"/>
      <x:c r="G142" s="118"/>
      <x:c r="H142" s="118"/>
      <x:c r="I142" s="117"/>
      <x:c r="J142" s="122"/>
    </x:row>
    <x:row r="143">
      <x:c r="A143" s="115"/>
      <x:c r="B143" s="116"/>
      <x:c r="C143" s="118"/>
      <x:c r="D143" s="118"/>
      <x:c r="E143" s="118"/>
      <x:c r="F143" s="117"/>
      <x:c r="G143" s="118"/>
      <x:c r="H143" s="118"/>
      <x:c r="I143" s="117"/>
      <x:c r="J143" s="122"/>
    </x:row>
    <x:row r="144">
      <x:c r="A144" s="115"/>
      <x:c r="B144" s="116"/>
      <x:c r="C144" s="118"/>
      <x:c r="D144" s="118"/>
      <x:c r="E144" s="118"/>
      <x:c r="F144" s="117"/>
      <x:c r="G144" s="118"/>
      <x:c r="H144" s="118"/>
      <x:c r="I144" s="117"/>
      <x:c r="J144" s="122"/>
    </x:row>
    <x:row r="145">
      <x:c r="A145" s="115"/>
      <x:c r="B145" s="116"/>
      <x:c r="C145" s="118"/>
      <x:c r="D145" s="118"/>
      <x:c r="E145" s="118"/>
      <x:c r="F145" s="117"/>
      <x:c r="G145" s="118"/>
      <x:c r="H145" s="118"/>
      <x:c r="I145" s="117"/>
      <x:c r="J145" s="122"/>
    </x:row>
    <x:row r="146">
      <x:c r="A146" s="115"/>
      <x:c r="B146" s="116"/>
      <x:c r="C146" s="118"/>
      <x:c r="D146" s="118"/>
      <x:c r="E146" s="118"/>
      <x:c r="F146" s="117"/>
      <x:c r="G146" s="118"/>
      <x:c r="H146" s="118"/>
      <x:c r="I146" s="117"/>
      <x:c r="J146" s="122"/>
    </x:row>
    <x:row r="147">
      <x:c r="A147" s="115"/>
      <x:c r="B147" s="116"/>
      <x:c r="C147" s="118"/>
      <x:c r="D147" s="118"/>
      <x:c r="E147" s="118"/>
      <x:c r="F147" s="117"/>
      <x:c r="G147" s="118"/>
      <x:c r="H147" s="118"/>
      <x:c r="I147" s="117"/>
      <x:c r="J147" s="122"/>
    </x:row>
    <x:row r="148">
      <x:c r="A148" s="115"/>
      <x:c r="B148" s="116"/>
      <x:c r="C148" s="118"/>
      <x:c r="D148" s="118"/>
      <x:c r="E148" s="118"/>
      <x:c r="F148" s="117"/>
      <x:c r="G148" s="118"/>
      <x:c r="H148" s="118"/>
      <x:c r="I148" s="117"/>
      <x:c r="J148" s="122"/>
    </x:row>
    <x:row r="149">
      <x:c r="A149" s="115"/>
      <x:c r="B149" s="116"/>
      <x:c r="C149" s="118"/>
      <x:c r="D149" s="118"/>
      <x:c r="E149" s="118"/>
      <x:c r="F149" s="117"/>
      <x:c r="G149" s="118"/>
      <x:c r="H149" s="118"/>
      <x:c r="I149" s="117"/>
      <x:c r="J149" s="122"/>
    </x:row>
    <x:row r="150">
      <x:c r="A150" s="115"/>
      <x:c r="B150" s="116"/>
      <x:c r="C150" s="118"/>
      <x:c r="D150" s="118"/>
      <x:c r="E150" s="118"/>
      <x:c r="F150" s="117"/>
      <x:c r="G150" s="118"/>
      <x:c r="H150" s="118"/>
      <x:c r="I150" s="117"/>
      <x:c r="J150" s="122"/>
    </x:row>
    <x:row r="151">
      <x:c r="A151" s="115"/>
      <x:c r="B151" s="116"/>
      <x:c r="C151" s="118"/>
      <x:c r="D151" s="118"/>
      <x:c r="E151" s="118"/>
      <x:c r="F151" s="117"/>
      <x:c r="G151" s="118"/>
      <x:c r="H151" s="118"/>
      <x:c r="I151" s="117"/>
      <x:c r="J151" s="122"/>
    </x:row>
    <x:row r="152">
      <x:c r="A152" s="115"/>
      <x:c r="B152" s="116"/>
      <x:c r="C152" s="118"/>
      <x:c r="D152" s="118"/>
      <x:c r="E152" s="118"/>
      <x:c r="F152" s="117"/>
      <x:c r="G152" s="118"/>
      <x:c r="H152" s="118"/>
      <x:c r="I152" s="117"/>
      <x:c r="J152" s="122"/>
    </x:row>
    <x:row r="153">
      <x:c r="A153" s="115"/>
      <x:c r="B153" s="116"/>
      <x:c r="C153" s="118"/>
      <x:c r="D153" s="118"/>
      <x:c r="E153" s="118"/>
      <x:c r="F153" s="117"/>
      <x:c r="G153" s="118"/>
      <x:c r="H153" s="118"/>
      <x:c r="I153" s="117"/>
      <x:c r="J153" s="122"/>
    </x:row>
    <x:row r="154">
      <x:c r="A154" s="115"/>
      <x:c r="B154" s="116"/>
      <x:c r="C154" s="118"/>
      <x:c r="D154" s="118"/>
      <x:c r="E154" s="118"/>
      <x:c r="F154" s="117"/>
      <x:c r="G154" s="118"/>
      <x:c r="H154" s="118"/>
      <x:c r="I154" s="117"/>
      <x:c r="J154" s="122"/>
    </x:row>
    <x:row r="155">
      <x:c r="A155" s="115"/>
      <x:c r="B155" s="116"/>
      <x:c r="C155" s="118"/>
      <x:c r="D155" s="118"/>
      <x:c r="E155" s="118"/>
      <x:c r="F155" s="117"/>
      <x:c r="G155" s="118"/>
      <x:c r="H155" s="118"/>
      <x:c r="I155" s="117"/>
      <x:c r="J155" s="122"/>
    </x:row>
    <x:row r="156">
      <x:c r="A156" s="115"/>
      <x:c r="B156" s="116"/>
      <x:c r="C156" s="118"/>
      <x:c r="D156" s="118"/>
      <x:c r="E156" s="118"/>
      <x:c r="F156" s="117"/>
      <x:c r="G156" s="118"/>
      <x:c r="H156" s="118"/>
      <x:c r="I156" s="117"/>
      <x:c r="J156" s="122"/>
    </x:row>
    <x:row r="157">
      <x:c r="A157" s="115"/>
      <x:c r="B157" s="116"/>
      <x:c r="C157" s="118"/>
      <x:c r="D157" s="118"/>
      <x:c r="E157" s="118"/>
      <x:c r="F157" s="117"/>
      <x:c r="G157" s="118"/>
      <x:c r="H157" s="118"/>
      <x:c r="I157" s="117"/>
      <x:c r="J157" s="122"/>
    </x:row>
    <x:row r="158">
      <x:c r="A158" s="115"/>
      <x:c r="B158" s="116"/>
      <x:c r="C158" s="118"/>
      <x:c r="D158" s="118"/>
      <x:c r="E158" s="118"/>
      <x:c r="F158" s="117"/>
      <x:c r="G158" s="118"/>
      <x:c r="H158" s="118"/>
      <x:c r="I158" s="117"/>
      <x:c r="J158" s="122"/>
    </x:row>
    <x:row r="159">
      <x:c r="A159" s="115"/>
      <x:c r="B159" s="116"/>
      <x:c r="C159" s="118"/>
      <x:c r="D159" s="118"/>
      <x:c r="E159" s="118"/>
      <x:c r="F159" s="117"/>
      <x:c r="G159" s="118"/>
      <x:c r="H159" s="118"/>
      <x:c r="I159" s="117"/>
      <x:c r="J159" s="122"/>
    </x:row>
    <x:row r="160">
      <x:c r="A160" s="115"/>
      <x:c r="B160" s="116"/>
      <x:c r="C160" s="118"/>
      <x:c r="D160" s="118"/>
      <x:c r="E160" s="118"/>
      <x:c r="F160" s="117"/>
      <x:c r="G160" s="118"/>
      <x:c r="H160" s="118"/>
      <x:c r="I160" s="117"/>
      <x:c r="J160" s="122"/>
    </x:row>
    <x:row r="161">
      <x:c r="A161" s="115"/>
      <x:c r="B161" s="116"/>
      <x:c r="C161" s="118"/>
      <x:c r="D161" s="118"/>
      <x:c r="E161" s="118"/>
      <x:c r="F161" s="117"/>
      <x:c r="G161" s="118"/>
      <x:c r="H161" s="118"/>
      <x:c r="I161" s="117"/>
      <x:c r="J161" s="122"/>
    </x:row>
    <x:row r="162">
      <x:c r="A162" s="115"/>
      <x:c r="B162" s="116"/>
      <x:c r="C162" s="118"/>
      <x:c r="D162" s="118"/>
      <x:c r="E162" s="118"/>
      <x:c r="F162" s="117"/>
      <x:c r="G162" s="118"/>
      <x:c r="H162" s="118"/>
      <x:c r="I162" s="117"/>
      <x:c r="J162" s="122"/>
    </x:row>
    <x:row r="163">
      <x:c r="A163" s="115"/>
      <x:c r="B163" s="116"/>
      <x:c r="C163" s="118"/>
      <x:c r="D163" s="118"/>
      <x:c r="E163" s="118"/>
      <x:c r="F163" s="117"/>
      <x:c r="G163" s="118"/>
      <x:c r="H163" s="118"/>
      <x:c r="I163" s="117"/>
      <x:c r="J163" s="122"/>
    </x:row>
    <x:row r="164">
      <x:c r="A164" s="115"/>
      <x:c r="B164" s="116"/>
      <x:c r="C164" s="118"/>
      <x:c r="D164" s="118"/>
      <x:c r="E164" s="118"/>
      <x:c r="F164" s="117"/>
      <x:c r="G164" s="118"/>
      <x:c r="H164" s="118"/>
      <x:c r="I164" s="117"/>
      <x:c r="J164" s="122"/>
    </x:row>
    <x:row r="165">
      <x:c r="A165" s="115"/>
      <x:c r="B165" s="116"/>
      <x:c r="C165" s="118"/>
      <x:c r="D165" s="118"/>
      <x:c r="E165" s="118"/>
      <x:c r="F165" s="117"/>
      <x:c r="G165" s="118"/>
      <x:c r="H165" s="118"/>
      <x:c r="I165" s="117"/>
      <x:c r="J165" s="122"/>
    </x:row>
    <x:row r="166">
      <x:c r="A166" s="115"/>
      <x:c r="B166" s="116"/>
      <x:c r="C166" s="118"/>
      <x:c r="D166" s="118"/>
      <x:c r="E166" s="118"/>
      <x:c r="F166" s="117"/>
      <x:c r="G166" s="118"/>
      <x:c r="H166" s="118"/>
      <x:c r="I166" s="117"/>
      <x:c r="J166" s="122"/>
    </x:row>
    <x:row r="167">
      <x:c r="A167" s="115"/>
      <x:c r="B167" s="116"/>
      <x:c r="C167" s="118"/>
      <x:c r="D167" s="118"/>
      <x:c r="E167" s="118"/>
      <x:c r="F167" s="117"/>
      <x:c r="G167" s="118"/>
      <x:c r="H167" s="118"/>
      <x:c r="I167" s="117"/>
      <x:c r="J167" s="122"/>
    </x:row>
    <x:row r="168">
      <x:c r="A168" s="115"/>
      <x:c r="B168" s="116"/>
      <x:c r="C168" s="118"/>
      <x:c r="D168" s="118"/>
      <x:c r="E168" s="118"/>
      <x:c r="F168" s="117"/>
      <x:c r="G168" s="118"/>
      <x:c r="H168" s="118"/>
      <x:c r="I168" s="117"/>
      <x:c r="J168" s="122"/>
    </x:row>
    <x:row r="169">
      <x:c r="A169" s="115"/>
      <x:c r="B169" s="116"/>
      <x:c r="C169" s="118"/>
      <x:c r="D169" s="118"/>
      <x:c r="E169" s="118"/>
      <x:c r="F169" s="117"/>
      <x:c r="G169" s="118"/>
      <x:c r="H169" s="118"/>
      <x:c r="I169" s="117"/>
      <x:c r="J169" s="122"/>
    </x:row>
    <x:row r="170">
      <x:c r="A170" s="115"/>
      <x:c r="B170" s="116"/>
      <x:c r="C170" s="118"/>
      <x:c r="D170" s="118"/>
      <x:c r="E170" s="118"/>
      <x:c r="F170" s="117"/>
      <x:c r="G170" s="118"/>
      <x:c r="H170" s="118"/>
      <x:c r="I170" s="117"/>
      <x:c r="J170" s="122"/>
    </x:row>
    <x:row r="171">
      <x:c r="A171" s="115"/>
      <x:c r="B171" s="116"/>
      <x:c r="C171" s="118"/>
      <x:c r="D171" s="118"/>
      <x:c r="E171" s="118"/>
      <x:c r="F171" s="117"/>
      <x:c r="G171" s="118"/>
      <x:c r="H171" s="118"/>
      <x:c r="I171" s="117"/>
      <x:c r="J171" s="122"/>
    </x:row>
    <x:row r="172">
      <x:c r="A172" s="115"/>
      <x:c r="B172" s="116"/>
      <x:c r="C172" s="118"/>
      <x:c r="D172" s="118"/>
      <x:c r="E172" s="118"/>
      <x:c r="F172" s="117"/>
      <x:c r="G172" s="118"/>
      <x:c r="H172" s="118"/>
      <x:c r="I172" s="117"/>
      <x:c r="J172" s="122"/>
    </x:row>
    <x:row r="173">
      <x:c r="A173" s="115"/>
      <x:c r="B173" s="116"/>
      <x:c r="C173" s="118"/>
      <x:c r="D173" s="118"/>
      <x:c r="E173" s="118"/>
      <x:c r="F173" s="117"/>
      <x:c r="G173" s="118"/>
      <x:c r="H173" s="118"/>
      <x:c r="I173" s="117"/>
      <x:c r="J173" s="122"/>
    </x:row>
    <x:row r="174">
      <x:c r="A174" s="115"/>
      <x:c r="B174" s="116"/>
      <x:c r="C174" s="118"/>
      <x:c r="D174" s="118"/>
      <x:c r="E174" s="118"/>
      <x:c r="F174" s="117"/>
      <x:c r="G174" s="118"/>
      <x:c r="H174" s="118"/>
      <x:c r="I174" s="117"/>
      <x:c r="J174" s="122"/>
    </x:row>
    <x:row r="175">
      <x:c r="A175" s="115"/>
      <x:c r="B175" s="116"/>
      <x:c r="C175" s="118"/>
      <x:c r="D175" s="118"/>
      <x:c r="E175" s="118"/>
      <x:c r="F175" s="117"/>
      <x:c r="G175" s="118"/>
      <x:c r="H175" s="118"/>
      <x:c r="I175" s="117"/>
      <x:c r="J175" s="122"/>
    </x:row>
    <x:row r="176">
      <x:c r="A176" s="115"/>
      <x:c r="B176" s="116"/>
      <x:c r="C176" s="118"/>
      <x:c r="D176" s="118"/>
      <x:c r="E176" s="118"/>
      <x:c r="F176" s="117"/>
      <x:c r="G176" s="118"/>
      <x:c r="H176" s="118"/>
      <x:c r="I176" s="117"/>
      <x:c r="J176" s="122"/>
    </x:row>
    <x:row r="177">
      <x:c r="A177" s="115"/>
      <x:c r="B177" s="116"/>
      <x:c r="C177" s="118"/>
      <x:c r="D177" s="118"/>
      <x:c r="E177" s="118"/>
      <x:c r="F177" s="117"/>
      <x:c r="G177" s="118"/>
      <x:c r="H177" s="118"/>
      <x:c r="I177" s="117"/>
      <x:c r="J177" s="122"/>
    </x:row>
    <x:row r="178">
      <x:c r="A178" s="115"/>
      <x:c r="B178" s="116"/>
      <x:c r="C178" s="118"/>
      <x:c r="D178" s="118"/>
      <x:c r="E178" s="118"/>
      <x:c r="F178" s="117"/>
      <x:c r="G178" s="118"/>
      <x:c r="H178" s="118"/>
      <x:c r="I178" s="117"/>
      <x:c r="J178" s="122"/>
    </x:row>
    <x:row r="179">
      <x:c r="A179" s="115"/>
      <x:c r="B179" s="116"/>
      <x:c r="C179" s="118"/>
      <x:c r="D179" s="118"/>
      <x:c r="E179" s="118"/>
      <x:c r="F179" s="117"/>
      <x:c r="G179" s="118"/>
      <x:c r="H179" s="118"/>
      <x:c r="I179" s="117"/>
      <x:c r="J179" s="122"/>
    </x:row>
    <x:row r="180">
      <x:c r="A180" s="115"/>
      <x:c r="B180" s="116"/>
      <x:c r="C180" s="118"/>
      <x:c r="D180" s="118"/>
      <x:c r="E180" s="118"/>
      <x:c r="F180" s="117"/>
      <x:c r="G180" s="118"/>
      <x:c r="H180" s="118"/>
      <x:c r="I180" s="117"/>
      <x:c r="J180" s="122"/>
    </x:row>
    <x:row r="181">
      <x:c r="A181" s="115"/>
      <x:c r="B181" s="116"/>
      <x:c r="C181" s="118"/>
      <x:c r="D181" s="118"/>
      <x:c r="E181" s="118"/>
      <x:c r="F181" s="117"/>
      <x:c r="G181" s="118"/>
      <x:c r="H181" s="118"/>
      <x:c r="I181" s="117"/>
      <x:c r="J181" s="122"/>
    </x:row>
    <x:row r="182">
      <x:c r="A182" s="115"/>
      <x:c r="B182" s="116"/>
      <x:c r="C182" s="118"/>
      <x:c r="D182" s="118"/>
      <x:c r="E182" s="118"/>
      <x:c r="F182" s="117"/>
      <x:c r="G182" s="118"/>
      <x:c r="H182" s="118"/>
      <x:c r="I182" s="117"/>
      <x:c r="J182" s="122"/>
    </x:row>
    <x:row r="183">
      <x:c r="A183" s="115"/>
      <x:c r="B183" s="116"/>
      <x:c r="C183" s="118"/>
      <x:c r="D183" s="118"/>
      <x:c r="E183" s="118"/>
      <x:c r="F183" s="117"/>
      <x:c r="G183" s="118"/>
      <x:c r="H183" s="118"/>
      <x:c r="I183" s="117"/>
      <x:c r="J183" s="122"/>
    </x:row>
    <x:row r="184">
      <x:c r="A184" s="115"/>
      <x:c r="B184" s="116"/>
      <x:c r="C184" s="118"/>
      <x:c r="D184" s="118"/>
      <x:c r="E184" s="118"/>
      <x:c r="F184" s="117"/>
      <x:c r="G184" s="118"/>
      <x:c r="H184" s="118"/>
      <x:c r="I184" s="117"/>
      <x:c r="J184" s="122"/>
    </x:row>
    <x:row r="185">
      <x:c r="A185" s="115"/>
      <x:c r="B185" s="116"/>
      <x:c r="C185" s="118"/>
      <x:c r="D185" s="118"/>
      <x:c r="E185" s="118"/>
      <x:c r="F185" s="117"/>
      <x:c r="G185" s="118"/>
      <x:c r="H185" s="118"/>
      <x:c r="I185" s="117"/>
      <x:c r="J185" s="122"/>
    </x:row>
    <x:row r="186">
      <x:c r="A186" s="115"/>
      <x:c r="B186" s="116"/>
      <x:c r="C186" s="118"/>
      <x:c r="D186" s="118"/>
      <x:c r="E186" s="118"/>
      <x:c r="F186" s="117"/>
      <x:c r="G186" s="118"/>
      <x:c r="H186" s="118"/>
      <x:c r="I186" s="117"/>
      <x:c r="J186" s="122"/>
    </x:row>
    <x:row r="187">
      <x:c r="A187" s="115"/>
      <x:c r="B187" s="116"/>
      <x:c r="C187" s="118"/>
      <x:c r="D187" s="118"/>
      <x:c r="E187" s="118"/>
      <x:c r="F187" s="117"/>
      <x:c r="G187" s="118"/>
      <x:c r="H187" s="118"/>
      <x:c r="I187" s="117"/>
      <x:c r="J187" s="122"/>
    </x:row>
    <x:row r="188">
      <x:c r="A188" s="115"/>
      <x:c r="B188" s="116"/>
      <x:c r="C188" s="118"/>
      <x:c r="D188" s="118"/>
      <x:c r="E188" s="118"/>
      <x:c r="F188" s="117"/>
      <x:c r="G188" s="118"/>
      <x:c r="H188" s="118"/>
      <x:c r="I188" s="117"/>
      <x:c r="J188" s="122"/>
    </x:row>
    <x:row r="189">
      <x:c r="A189" s="115"/>
      <x:c r="B189" s="116"/>
      <x:c r="C189" s="118"/>
      <x:c r="D189" s="118"/>
      <x:c r="E189" s="118"/>
      <x:c r="F189" s="117"/>
      <x:c r="G189" s="118"/>
      <x:c r="H189" s="118"/>
      <x:c r="I189" s="117"/>
      <x:c r="J189" s="122"/>
    </x:row>
    <x:row r="190">
      <x:c r="A190" s="115"/>
      <x:c r="B190" s="116"/>
      <x:c r="C190" s="118"/>
      <x:c r="D190" s="118"/>
      <x:c r="E190" s="118"/>
      <x:c r="F190" s="117"/>
      <x:c r="G190" s="118"/>
      <x:c r="H190" s="118"/>
      <x:c r="I190" s="117"/>
      <x:c r="J190" s="122"/>
    </x:row>
    <x:row r="191">
      <x:c r="A191" s="115"/>
      <x:c r="B191" s="116"/>
      <x:c r="C191" s="118"/>
      <x:c r="D191" s="118"/>
      <x:c r="E191" s="118"/>
      <x:c r="F191" s="117"/>
      <x:c r="G191" s="118"/>
      <x:c r="H191" s="118"/>
      <x:c r="I191" s="117"/>
      <x:c r="J191" s="122"/>
    </x:row>
    <x:row r="192">
      <x:c r="A192" s="115"/>
      <x:c r="B192" s="116"/>
      <x:c r="C192" s="118"/>
      <x:c r="D192" s="118"/>
      <x:c r="E192" s="118"/>
      <x:c r="F192" s="117"/>
      <x:c r="G192" s="118"/>
      <x:c r="H192" s="118"/>
      <x:c r="I192" s="117"/>
      <x:c r="J192" s="122"/>
    </x:row>
    <x:row r="193">
      <x:c r="A193" s="115"/>
      <x:c r="B193" s="116"/>
      <x:c r="C193" s="118"/>
      <x:c r="D193" s="118"/>
      <x:c r="E193" s="118"/>
      <x:c r="F193" s="117"/>
      <x:c r="G193" s="118"/>
      <x:c r="H193" s="118"/>
      <x:c r="I193" s="117"/>
      <x:c r="J193" s="122"/>
    </x:row>
    <x:row r="194">
      <x:c r="A194" s="115"/>
      <x:c r="B194" s="116"/>
      <x:c r="C194" s="118"/>
      <x:c r="D194" s="118"/>
      <x:c r="E194" s="118"/>
      <x:c r="F194" s="117"/>
      <x:c r="G194" s="118"/>
      <x:c r="H194" s="118"/>
      <x:c r="I194" s="117"/>
      <x:c r="J194" s="122"/>
    </x:row>
    <x:row r="195">
      <x:c r="A195" s="115"/>
      <x:c r="B195" s="116"/>
      <x:c r="C195" s="118"/>
      <x:c r="D195" s="118"/>
      <x:c r="E195" s="118"/>
      <x:c r="F195" s="117"/>
      <x:c r="G195" s="118"/>
      <x:c r="H195" s="118"/>
      <x:c r="I195" s="117"/>
      <x:c r="J195" s="122"/>
    </x:row>
    <x:row r="196">
      <x:c r="A196" s="115"/>
      <x:c r="B196" s="116"/>
      <x:c r="C196" s="118"/>
      <x:c r="D196" s="118"/>
      <x:c r="E196" s="118"/>
      <x:c r="F196" s="117"/>
      <x:c r="G196" s="118"/>
      <x:c r="H196" s="118"/>
      <x:c r="I196" s="117"/>
      <x:c r="J196" s="122"/>
    </x:row>
    <x:row r="197">
      <x:c r="A197" s="115"/>
      <x:c r="B197" s="116"/>
      <x:c r="C197" s="118"/>
      <x:c r="D197" s="118"/>
      <x:c r="E197" s="118"/>
      <x:c r="F197" s="117"/>
      <x:c r="G197" s="118"/>
      <x:c r="H197" s="118"/>
      <x:c r="I197" s="117"/>
      <x:c r="J197" s="122"/>
    </x:row>
    <x:row r="198">
      <x:c r="A198" s="115"/>
      <x:c r="B198" s="116"/>
      <x:c r="C198" s="118"/>
      <x:c r="D198" s="118"/>
      <x:c r="E198" s="118"/>
      <x:c r="F198" s="117"/>
      <x:c r="G198" s="118"/>
      <x:c r="H198" s="118"/>
      <x:c r="I198" s="117"/>
      <x:c r="J198" s="122"/>
    </x:row>
    <x:row r="199">
      <x:c r="A199" s="115"/>
      <x:c r="B199" s="116"/>
      <x:c r="C199" s="118"/>
      <x:c r="D199" s="118"/>
      <x:c r="E199" s="118"/>
      <x:c r="F199" s="117"/>
      <x:c r="G199" s="118"/>
      <x:c r="H199" s="118"/>
      <x:c r="I199" s="117"/>
      <x:c r="J199" s="122"/>
    </x:row>
    <x:row r="200">
      <x:c r="A200" s="115"/>
      <x:c r="B200" s="116"/>
      <x:c r="C200" s="118"/>
      <x:c r="D200" s="118"/>
      <x:c r="E200" s="118"/>
      <x:c r="F200" s="117"/>
      <x:c r="G200" s="118"/>
      <x:c r="H200" s="118"/>
      <x:c r="I200" s="117"/>
      <x:c r="J200" s="122"/>
    </x:row>
    <x:row r="201">
      <x:c r="A201" s="115"/>
      <x:c r="B201" s="116"/>
      <x:c r="C201" s="118"/>
      <x:c r="D201" s="118"/>
      <x:c r="E201" s="118"/>
      <x:c r="F201" s="117"/>
      <x:c r="G201" s="118"/>
      <x:c r="H201" s="118"/>
      <x:c r="I201" s="117"/>
      <x:c r="J201" s="122"/>
    </x:row>
    <x:row r="202">
      <x:c r="A202" s="115"/>
      <x:c r="B202" s="116"/>
      <x:c r="C202" s="118"/>
      <x:c r="D202" s="118"/>
      <x:c r="E202" s="118"/>
      <x:c r="F202" s="117"/>
      <x:c r="G202" s="118"/>
      <x:c r="H202" s="118"/>
      <x:c r="I202" s="117"/>
      <x:c r="J202" s="122"/>
    </x:row>
    <x:row r="203">
      <x:c r="A203" s="115"/>
      <x:c r="B203" s="116"/>
      <x:c r="C203" s="118"/>
      <x:c r="D203" s="118"/>
      <x:c r="E203" s="118"/>
      <x:c r="F203" s="117"/>
      <x:c r="G203" s="118"/>
      <x:c r="H203" s="118"/>
      <x:c r="I203" s="117"/>
      <x:c r="J203" s="122"/>
    </x:row>
    <x:row r="204">
      <x:c r="A204" s="115"/>
      <x:c r="B204" s="116"/>
      <x:c r="C204" s="118"/>
      <x:c r="D204" s="118"/>
      <x:c r="E204" s="118"/>
      <x:c r="F204" s="117"/>
      <x:c r="G204" s="118"/>
      <x:c r="H204" s="118"/>
      <x:c r="I204" s="117"/>
      <x:c r="J204" s="122"/>
    </x:row>
    <x:row r="205">
      <x:c r="A205" s="123"/>
      <x:c r="B205" s="124"/>
      <x:c r="C205" s="126"/>
      <x:c r="D205" s="126"/>
      <x:c r="E205" s="126"/>
      <x:c r="F205" s="125"/>
      <x:c r="G205" s="126"/>
      <x:c r="H205" s="126"/>
      <x:c r="I205" s="125"/>
      <x:c r="J205" s="130"/>
    </x:row>
  </x:sheetData>
  <x:mergeCells>
    <x:mergeCell ref="A1:J1"/>
    <x:mergeCell ref="A2:L2"/>
    <x:mergeCell ref="A4:J4"/>
  </x:mergeCells>
  <x:dataValidations count="1">
    <x:dataValidation type="list" sqref="C6:C205">
      <x:formula1>"Factura AWS,Resumen tarjeta,Comprobante pago,Nota de crédito,Otro"</x:formula1>
    </x:dataValidation>
  </x:dataValidations>
  <x:pageMargins left="0.7" right="0.7" top="0.75" bottom="0.75" header="0.3" footer="0.3"/>
</x:worksheet>
</file>